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EXCEL SKILL COURSE\PROJECT__FILE 97\HR Dashboard\"/>
    </mc:Choice>
  </mc:AlternateContent>
  <xr:revisionPtr revIDLastSave="0" documentId="8_{52C444C6-02D6-4BF4-829C-5AF6C99313C2}" xr6:coauthVersionLast="47" xr6:coauthVersionMax="47" xr10:uidLastSave="{00000000-0000-0000-0000-000000000000}"/>
  <bookViews>
    <workbookView xWindow="-108" yWindow="-108" windowWidth="23256" windowHeight="12456" activeTab="1" xr2:uid="{408BA6AB-5196-496B-9C80-B057CC378CDA}"/>
  </bookViews>
  <sheets>
    <sheet name="Data" sheetId="1" r:id="rId1"/>
    <sheet name="Pivot Table" sheetId="4" r:id="rId2"/>
    <sheet name="Dashboard" sheetId="2" r:id="rId3"/>
  </sheets>
  <definedNames>
    <definedName name="Slicer_Department">#N/A</definedName>
    <definedName name="Slicer_Gender">#N/A</definedName>
  </definedNames>
  <calcPr calcId="191029"/>
  <pivotCaches>
    <pivotCache cacheId="1"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4" l="1"/>
  <c r="B12" i="4"/>
  <c r="W19" i="4" l="1"/>
  <c r="H20" i="4"/>
  <c r="H19" i="4"/>
  <c r="E19" i="4"/>
  <c r="W18" i="4"/>
  <c r="E18" i="4"/>
  <c r="Z17" i="4"/>
  <c r="T17" i="4"/>
  <c r="H17" i="4"/>
  <c r="E17" i="4"/>
  <c r="Z16" i="4"/>
  <c r="T16" i="4"/>
  <c r="H16" i="4"/>
  <c r="E16" i="4"/>
  <c r="Z15" i="4"/>
  <c r="T15" i="4"/>
  <c r="H15" i="4"/>
  <c r="E15" i="4"/>
  <c r="Z14" i="4"/>
  <c r="T14" i="4"/>
  <c r="O14" i="4"/>
  <c r="H14" i="4"/>
  <c r="E14" i="4"/>
  <c r="Z13" i="4"/>
  <c r="T13" i="4"/>
  <c r="O13" i="4"/>
  <c r="H13" i="4"/>
  <c r="B13" i="4"/>
  <c r="O12" i="4"/>
  <c r="B15" i="4" l="1"/>
  <c r="P14" i="4"/>
  <c r="Q14" i="4" s="1"/>
  <c r="P13" i="4"/>
  <c r="Q13" i="4" s="1"/>
  <c r="Z18" i="4"/>
  <c r="O15" i="4"/>
  <c r="P12" i="4"/>
  <c r="Q12" i="4" s="1"/>
  <c r="I19" i="4"/>
  <c r="J19" i="4" s="1"/>
  <c r="I20" i="4"/>
  <c r="J20" i="4" s="1"/>
</calcChain>
</file>

<file path=xl/sharedStrings.xml><?xml version="1.0" encoding="utf-8"?>
<sst xmlns="http://schemas.openxmlformats.org/spreadsheetml/2006/main" count="875" uniqueCount="233">
  <si>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</si>
  <si>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</si>
  <si>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</si>
  <si>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</si>
  <si>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</si>
  <si>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</si>
  <si>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</si>
  <si>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</si>
  <si>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</si>
  <si>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</si>
  <si>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</si>
  <si>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</si>
  <si>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</si>
  <si>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</si>
  <si>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</si>
  <si>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</si>
  <si>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</si>
  <si>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</si>
  <si>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</si>
  <si>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</si>
  <si>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</si>
  <si>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</si>
  <si>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</si>
  <si>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</si>
  <si>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</si>
  <si>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</si>
  <si>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</si>
  <si>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</si>
  <si>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</si>
  <si>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</si>
  <si>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</si>
  <si>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</si>
  <si>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</si>
  <si>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</si>
  <si>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</si>
  <si>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</si>
  <si>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</si>
  <si>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</si>
  <si>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</si>
  <si>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</si>
  <si>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</si>
  <si>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</si>
  <si>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</si>
  <si>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</si>
  <si>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</si>
  <si>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</si>
  <si>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</si>
  <si>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</si>
  <si>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</si>
  <si>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</si>
  <si>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</si>
  <si>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</si>
  <si>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</si>
  <si>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</si>
  <si>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</si>
  <si>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</si>
  <si>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</si>
  <si>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</si>
  <si>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</si>
  <si>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</si>
  <si>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</si>
  <si>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</si>
  <si>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</si>
  <si>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</si>
  <si>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</si>
  <si>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</si>
  <si>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</si>
  <si>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</si>
  <si>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</si>
  <si>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</si>
  <si>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</si>
  <si>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</si>
  <si>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</si>
  <si>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</si>
  <si>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</si>
  <si>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</si>
  <si>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</si>
  <si>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</si>
  <si>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</si>
  <si>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</si>
  <si>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</si>
  <si>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</si>
  <si>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</si>
  <si>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</si>
  <si>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</si>
  <si>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</si>
  <si>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</si>
  <si>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</si>
  <si>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</si>
  <si>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</si>
  <si>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</si>
  <si>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</si>
  <si>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</si>
  <si>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</si>
  <si>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</si>
  <si>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</si>
  <si>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</si>
  <si>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</si>
  <si>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</si>
  <si>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</si>
  <si>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</si>
  <si>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</si>
  <si>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</si>
  <si>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</si>
  <si>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</si>
  <si>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</si>
  <si>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</si>
  <si>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</si>
  <si>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</si>
  <si>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</si>
  <si>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</si>
  <si>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</si>
  <si>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</si>
  <si>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</si>
  <si>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</si>
  <si>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</si>
  <si>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</si>
  <si>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</si>
  <si>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</si>
  <si>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</si>
  <si>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</si>
  <si>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</si>
  <si>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</si>
  <si>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</si>
  <si>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</si>
  <si>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</si>
  <si>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</si>
  <si>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</si>
  <si>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</si>
  <si>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</si>
  <si>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</si>
  <si>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</si>
  <si>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</si>
  <si>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</si>
  <si>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</si>
  <si>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</si>
  <si>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</si>
  <si>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</si>
  <si>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</si>
  <si>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</si>
  <si>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</si>
  <si>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</si>
  <si>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</si>
  <si>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</si>
  <si>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</si>
  <si>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</si>
  <si>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</si>
  <si>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</si>
  <si>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</si>
  <si>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</si>
  <si>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</si>
  <si>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</si>
  <si>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</si>
  <si>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</si>
  <si>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</si>
  <si>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</si>
  <si>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</si>
  <si>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</si>
  <si>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</si>
  <si>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</si>
  <si>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</si>
  <si>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</si>
  <si>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</si>
  <si>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</si>
  <si>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</si>
  <si>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</si>
  <si>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</si>
  <si>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</si>
  <si>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</si>
  <si>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</si>
  <si>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</si>
  <si>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</si>
  <si>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</si>
  <si>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</si>
  <si>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</si>
  <si>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</si>
  <si>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</si>
  <si>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</si>
  <si>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</si>
  <si>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</si>
  <si>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</si>
  <si>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</si>
  <si>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</si>
  <si>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</si>
  <si>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</si>
  <si>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</si>
  <si>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</si>
  <si>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</si>
  <si>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</si>
  <si>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</si>
  <si>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</si>
  <si>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</si>
  <si>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</si>
  <si>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</si>
  <si>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</si>
  <si>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</si>
  <si>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</si>
  <si>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</si>
  <si>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</si>
  <si>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</si>
  <si>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</si>
  <si>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</si>
  <si>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</si>
  <si>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</si>
  <si>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</si>
  <si>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</si>
  <si>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</si>
  <si>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</si>
  <si>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</si>
  <si>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</si>
  <si>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</si>
  <si>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</si>
  <si>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</si>
  <si>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</si>
  <si>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</si>
  <si>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</si>
  <si>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</si>
  <si>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Employee to Employement Status</t>
  </si>
  <si>
    <t>Total</t>
  </si>
  <si>
    <t>Sum of Salary</t>
  </si>
  <si>
    <t>Salaries to Department</t>
  </si>
  <si>
    <t>=</t>
  </si>
  <si>
    <t xml:space="preserve"> </t>
  </si>
  <si>
    <t>Column Labels</t>
  </si>
  <si>
    <t>male</t>
  </si>
  <si>
    <t>female</t>
  </si>
  <si>
    <t>Age Range to Gender</t>
  </si>
  <si>
    <t>Work Place</t>
  </si>
  <si>
    <t>SKILLS</t>
  </si>
  <si>
    <t>Sum of Performance Rating</t>
  </si>
  <si>
    <t>Totals</t>
  </si>
  <si>
    <t>Average Performance</t>
  </si>
  <si>
    <t>Total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</si>
</sst>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2">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sz val="11"/>
      <color theme="1"/>
      <name val="Segoe UI Semibold"/>
      <family val="2"/>
    </font>
    <font>
      <b/>
      <sz val="11"/>
      <color theme="1"/>
      <name val="Kulim Park"/>
    </font>
    <font>
      <b/>
      <sz val="11"/>
      <color theme="0"/>
      <name val="Kulim park"/>
    </font>
    <font>
      <sz val="11"/>
      <color theme="0" tint="-4.9989318521683403E-2"/>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rgb="FF282828"/>
        <bgColor indexed="64"/>
      </patternFill>
    </fill>
    <fill>
      <patternFill patternType="solid">
        <fgColor theme="1"/>
        <bgColor indexed="64"/>
      </patternFill>
    </fill>
  </fills>
  <borders count="2">
    <border>
      <left/>
      <right/>
      <top/>
      <bottom/>
      <diagonal/>
    </border>
    <border>
      <left/>
      <right/>
      <top style="thin">
        <color theme="1" tint="0.499984740745262"/>
      </top>
      <bottom style="thin">
        <color theme="1" tint="0.499984740745262"/>
      </bottom>
      <diagonal/>
    </border>
  </borders>
  <cellStyleXfs count="2">
    <xf numFmtId="0" fontId="0" fillId="0" borderId="0"/>
    <xf numFmtId="43" fontId="4" fillId="0" borderId="0" applyFont="0" applyFill="0" applyBorder="0" applyAlignment="0" applyProtection="0"/>
  </cellStyleXfs>
  <cellXfs count="27">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2" borderId="0" xfId="0" applyFill="1"/>
    <xf numFmtId="0" fontId="5" fillId="2" borderId="0" xfId="0" applyFont="1" applyFill="1"/>
    <xf numFmtId="0" fontId="2" fillId="0" borderId="0" xfId="0" applyFont="1"/>
    <xf numFmtId="0" fontId="2" fillId="0" borderId="0" xfId="0" pivotButton="1" applyFont="1"/>
    <xf numFmtId="0" fontId="2" fillId="0" borderId="0" xfId="0" applyFont="1" applyAlignment="1">
      <alignment horizontal="left"/>
    </xf>
    <xf numFmtId="0" fontId="6" fillId="0" borderId="0" xfId="0" applyFont="1"/>
    <xf numFmtId="0" fontId="2" fillId="0" borderId="0" xfId="0" applyFont="1" applyAlignment="1">
      <alignment horizontal="center"/>
    </xf>
    <xf numFmtId="0" fontId="6" fillId="0" borderId="0" xfId="0" applyFont="1" applyAlignment="1">
      <alignment horizontal="left"/>
    </xf>
    <xf numFmtId="0" fontId="8" fillId="2" borderId="0" xfId="0" applyFont="1" applyFill="1"/>
    <xf numFmtId="164" fontId="2" fillId="0" borderId="0" xfId="1" applyNumberFormat="1" applyFont="1"/>
    <xf numFmtId="0" fontId="0" fillId="0" borderId="0" xfId="0" pivotButton="1"/>
    <xf numFmtId="0" fontId="0" fillId="0" borderId="0" xfId="0" applyAlignment="1">
      <alignment horizontal="left"/>
    </xf>
    <xf numFmtId="10" fontId="10" fillId="0" borderId="0" xfId="0" applyNumberFormat="1" applyFont="1"/>
    <xf numFmtId="9" fontId="10" fillId="0" borderId="0" xfId="0" applyNumberFormat="1" applyFont="1"/>
    <xf numFmtId="0" fontId="10" fillId="0" borderId="0" xfId="0" applyFont="1" applyAlignment="1">
      <alignment horizontal="left"/>
    </xf>
    <xf numFmtId="0" fontId="10" fillId="0" borderId="0" xfId="0" applyFont="1"/>
    <xf numFmtId="0" fontId="11" fillId="3" borderId="0" xfId="0" applyFont="1" applyFill="1" applyAlignment="1">
      <alignment horizontal="center"/>
    </xf>
    <xf numFmtId="0" fontId="7" fillId="2" borderId="0" xfId="0" applyFont="1" applyFill="1" applyAlignment="1">
      <alignment horizontal="center"/>
    </xf>
    <xf numFmtId="0" fontId="9" fillId="3" borderId="0" xfId="0" applyFont="1" applyFill="1" applyAlignment="1">
      <alignment horizontal="center"/>
    </xf>
    <xf numFmtId="0" fontId="9" fillId="3" borderId="0" xfId="0" applyFont="1" applyFill="1" applyAlignment="1">
      <alignment horizontal="center" vertical="center"/>
    </xf>
    <xf numFmtId="0" fontId="0" fillId="0" borderId="0" xfId="0" applyNumberFormat="1"/>
    <xf numFmtId="0" fontId="2" fillId="0" borderId="0" xfId="0" applyNumberFormat="1" applyFont="1"/>
    <xf numFmtId="4" fontId="0" fillId="2" borderId="0" xfId="0" applyNumberFormat="1" applyFill="1"/>
  </cellXfs>
  <cellStyles count="2">
    <cellStyle name="Comma" xfId="1" builtinId="3"/>
    <cellStyle name="Normal" xfId="0" builtinId="0"/>
  </cellStyles>
  <dxfs count="744">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Segoe UI Semibold"/>
        <family val="2"/>
        <scheme val="none"/>
      </font>
      <fill>
        <patternFill>
          <fgColor rgb="FF1F1F1F"/>
          <bgColor rgb="FF333333"/>
        </patternFill>
      </fill>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s>
  <tableStyles count="1" defaultTableStyle="TableStyleMedium2" defaultPivotStyle="PivotStyleLight16">
    <tableStyle name="Slicer Style 1" pivot="0" table="0" count="4" xr9:uid="{E1125DE1-8D86-4A31-9A90-9A431BFD5447}">
      <tableStyleElement type="wholeTable" dxfId="588"/>
    </tableStyle>
  </tableStyles>
  <colors>
    <mruColors>
      <color rgb="FFF3F3D1"/>
      <color rgb="FFE6B436"/>
      <color rgb="FFEEB12A"/>
      <color rgb="FFCBB845"/>
      <color rgb="FFDDA519"/>
      <color rgb="FF1F1F1F"/>
      <color rgb="FFEBDF47"/>
      <color rgb="FF282828"/>
      <color rgb="FFE3CE4F"/>
      <color rgb="FF333333"/>
    </mruColors>
  </colors>
  <extLst>
    <ext xmlns:x14="http://schemas.microsoft.com/office/spreadsheetml/2009/9/main" uri="{46F421CA-312F-682f-3DD2-61675219B42D}">
      <x14:dxfs count="11">
        <dxf>
          <fill>
            <patternFill>
              <fgColor rgb="FFEEB12A"/>
              <bgColor rgb="FFE6B436"/>
            </patternFill>
          </fill>
        </dxf>
        <dxf>
          <font>
            <b val="0"/>
            <i val="0"/>
            <sz val="10"/>
            <color rgb="FF1F1F1F"/>
            <name val="Segoe UI Semibold"/>
            <family val="2"/>
            <scheme val="none"/>
          </font>
          <fill>
            <patternFill>
              <fgColor rgb="FFFFC000"/>
              <bgColor rgb="FFEEB12A"/>
            </patternFill>
          </fill>
        </dxf>
        <dxf>
          <fill>
            <patternFill>
              <fgColor rgb="FFEEB12A"/>
              <bgColor theme="0" tint="-0.24994659260841701"/>
            </patternFill>
          </fill>
        </dxf>
        <dxf>
          <fill>
            <patternFill>
              <fgColor rgb="FFEEB12A"/>
              <bgColor rgb="FFE6B436"/>
            </patternFill>
          </fill>
        </dxf>
        <dxf>
          <font>
            <b val="0"/>
            <i val="0"/>
            <sz val="10"/>
            <color rgb="FF1F1F1F"/>
            <name val="Segoe UI Semibold"/>
            <family val="2"/>
            <scheme val="none"/>
          </font>
          <fill>
            <patternFill>
              <fgColor rgb="FFFFC000"/>
              <bgColor rgb="FFEEB12A"/>
            </patternFill>
          </fill>
        </dxf>
        <dxf>
          <fill>
            <patternFill>
              <fgColor rgb="FFEEB12A"/>
              <bgColor rgb="FFCBB845"/>
            </patternFill>
          </fill>
        </dxf>
        <dxf>
          <fill>
            <patternFill>
              <fgColor rgb="FFEEB12A"/>
            </patternFill>
          </fill>
        </dxf>
        <dxf>
          <font>
            <b val="0"/>
            <i val="0"/>
            <sz val="10"/>
            <color rgb="FF1F1F1F"/>
            <name val="Segoe UI Semibold"/>
            <family val="2"/>
            <scheme val="none"/>
          </font>
          <fill>
            <patternFill>
              <fgColor rgb="FFFFC000"/>
              <bgColor rgb="FFEEB12A"/>
            </patternFill>
          </fill>
        </dxf>
        <dxf>
          <fill>
            <patternFill>
              <fgColor rgb="FFEEB12A"/>
              <bgColor rgb="FFCBB845"/>
            </patternFill>
          </fill>
        </dxf>
        <dxf>
          <font>
            <b val="0"/>
            <i val="0"/>
            <sz val="10"/>
            <color rgb="FF1F1F1F"/>
            <name val="Segoe UI Semibold"/>
            <family val="2"/>
            <scheme val="none"/>
          </font>
          <fill>
            <patternFill>
              <fgColor rgb="FFFFC000"/>
              <bgColor rgb="FFEEB12A"/>
            </patternFill>
          </fill>
        </dxf>
        <dxf>
          <fill>
            <patternFill>
              <fgColor rgb="FFEEB12A"/>
              <bgColor rgb="FFCBB84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1693989071066E-2"/>
          <c:y val="3.5460992907801421E-2"/>
          <c:w val="0.74316939890710387"/>
          <c:h val="0.96453900709219853"/>
        </c:manualLayout>
      </c:layout>
      <c:pieChart>
        <c:varyColors val="1"/>
        <c:ser>
          <c:idx val="0"/>
          <c:order val="0"/>
          <c:spPr>
            <a:solidFill>
              <a:srgbClr val="FFC000"/>
            </a:solidFill>
            <a:ln>
              <a:solidFill>
                <a:srgbClr val="1F1F1F"/>
              </a:solidFill>
            </a:ln>
          </c:spPr>
          <c:dPt>
            <c:idx val="0"/>
            <c:bubble3D val="0"/>
            <c:spPr>
              <a:solidFill>
                <a:srgbClr val="FFC000"/>
              </a:solidFill>
              <a:ln>
                <a:solidFill>
                  <a:srgbClr val="1F1F1F"/>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A50-489F-AB4A-1F0E6432DC96}"/>
              </c:ext>
            </c:extLst>
          </c:dPt>
          <c:dPt>
            <c:idx val="1"/>
            <c:bubble3D val="0"/>
            <c:spPr>
              <a:solidFill>
                <a:schemeClr val="bg1">
                  <a:lumMod val="50000"/>
                </a:schemeClr>
              </a:solidFill>
              <a:ln>
                <a:solidFill>
                  <a:srgbClr val="1F1F1F"/>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A50-489F-AB4A-1F0E6432DC96}"/>
              </c:ext>
            </c:extLst>
          </c:dPt>
          <c:dPt>
            <c:idx val="2"/>
            <c:bubble3D val="0"/>
            <c:spPr>
              <a:solidFill>
                <a:schemeClr val="bg1">
                  <a:lumMod val="85000"/>
                </a:schemeClr>
              </a:solidFill>
              <a:ln>
                <a:solidFill>
                  <a:srgbClr val="1F1F1F"/>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A50-489F-AB4A-1F0E6432DC96}"/>
              </c:ext>
            </c:extLst>
          </c:dPt>
          <c:cat>
            <c:strRef>
              <c:f>'Pivot Table'!$A$12:$A$14</c:f>
              <c:strCache>
                <c:ptCount val="3"/>
                <c:pt idx="0">
                  <c:v>Contract</c:v>
                </c:pt>
                <c:pt idx="1">
                  <c:v>Full-Time</c:v>
                </c:pt>
                <c:pt idx="2">
                  <c:v>Part-Time</c:v>
                </c:pt>
              </c:strCache>
            </c:strRef>
          </c:cat>
          <c:val>
            <c:numRef>
              <c:f>'Pivot Table'!$B$12:$B$14</c:f>
              <c:numCache>
                <c:formatCode>General</c:formatCode>
                <c:ptCount val="3"/>
                <c:pt idx="0">
                  <c:v>17</c:v>
                </c:pt>
                <c:pt idx="1">
                  <c:v>20</c:v>
                </c:pt>
                <c:pt idx="2">
                  <c:v>13</c:v>
                </c:pt>
              </c:numCache>
            </c:numRef>
          </c:val>
          <c:extLst>
            <c:ext xmlns:c16="http://schemas.microsoft.com/office/drawing/2014/chart" uri="{C3380CC4-5D6E-409C-BE32-E72D297353CC}">
              <c16:uniqueId val="{00000006-1A50-489F-AB4A-1F0E6432DC9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rgbClr val="FFC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table.xlsx]Pivot Table!PivotTable5</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c:spPr>
      </c:pivotFmt>
      <c:pivotFmt>
        <c:idx val="7"/>
        <c:spPr>
          <a:solidFill>
            <a:schemeClr val="bg2">
              <a:lumMod val="50000"/>
            </a:schemeClr>
          </a:solidFill>
          <a:ln>
            <a:noFill/>
          </a:ln>
          <a:effectLst/>
        </c:spPr>
      </c:pivotFmt>
    </c:pivotFmts>
    <c:plotArea>
      <c:layout>
        <c:manualLayout>
          <c:layoutTarget val="inner"/>
          <c:xMode val="edge"/>
          <c:yMode val="edge"/>
          <c:x val="4.5819014891179836E-2"/>
          <c:y val="1.9078083989501317E-2"/>
          <c:w val="0.95418098510882021"/>
          <c:h val="0.83574348879466986"/>
        </c:manualLayout>
      </c:layout>
      <c:barChart>
        <c:barDir val="col"/>
        <c:grouping val="clustered"/>
        <c:varyColors val="0"/>
        <c:ser>
          <c:idx val="0"/>
          <c:order val="0"/>
          <c:tx>
            <c:strRef>
              <c:f>'Pivot Table'!$H$5:$H$6</c:f>
              <c:strCache>
                <c:ptCount val="1"/>
                <c:pt idx="0">
                  <c:v>Female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Table'!$G$7:$G$12</c:f>
              <c:strCache>
                <c:ptCount val="5"/>
                <c:pt idx="0">
                  <c:v>18-25</c:v>
                </c:pt>
                <c:pt idx="1">
                  <c:v>26-35</c:v>
                </c:pt>
                <c:pt idx="2">
                  <c:v>36-45</c:v>
                </c:pt>
                <c:pt idx="3">
                  <c:v>46-55</c:v>
                </c:pt>
                <c:pt idx="4">
                  <c:v>56 &lt;</c:v>
                </c:pt>
              </c:strCache>
            </c:strRef>
          </c:cat>
          <c:val>
            <c:numRef>
              <c:f>'Pivot Table'!$H$7:$H$12</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6A7C-4E00-BA16-2C0000A706B5}"/>
            </c:ext>
          </c:extLst>
        </c:ser>
        <c:ser>
          <c:idx val="1"/>
          <c:order val="1"/>
          <c:tx>
            <c:strRef>
              <c:f>'Pivot Table'!$I$5:$I$6</c:f>
              <c:strCache>
                <c:ptCount val="1"/>
                <c:pt idx="0">
                  <c:v>Male</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Table'!$G$7:$G$12</c:f>
              <c:strCache>
                <c:ptCount val="5"/>
                <c:pt idx="0">
                  <c:v>18-25</c:v>
                </c:pt>
                <c:pt idx="1">
                  <c:v>26-35</c:v>
                </c:pt>
                <c:pt idx="2">
                  <c:v>36-45</c:v>
                </c:pt>
                <c:pt idx="3">
                  <c:v>46-55</c:v>
                </c:pt>
                <c:pt idx="4">
                  <c:v>56 &lt;</c:v>
                </c:pt>
              </c:strCache>
            </c:strRef>
          </c:cat>
          <c:val>
            <c:numRef>
              <c:f>'Pivot Table'!$I$7:$I$12</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11-F000-4455-8BFE-73A31CCC5A06}"/>
            </c:ext>
          </c:extLst>
        </c:ser>
        <c:dLbls>
          <c:dLblPos val="outEnd"/>
          <c:showLegendKey val="0"/>
          <c:showVal val="1"/>
          <c:showCatName val="0"/>
          <c:showSerName val="0"/>
          <c:showPercent val="0"/>
          <c:showBubbleSize val="0"/>
        </c:dLbls>
        <c:gapWidth val="219"/>
        <c:overlap val="-27"/>
        <c:axId val="839897344"/>
        <c:axId val="840223792"/>
      </c:barChart>
      <c:catAx>
        <c:axId val="83989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40223792"/>
        <c:crosses val="autoZero"/>
        <c:auto val="1"/>
        <c:lblAlgn val="ctr"/>
        <c:lblOffset val="100"/>
        <c:noMultiLvlLbl val="0"/>
      </c:catAx>
      <c:valAx>
        <c:axId val="840223792"/>
        <c:scaling>
          <c:orientation val="minMax"/>
        </c:scaling>
        <c:delete val="1"/>
        <c:axPos val="l"/>
        <c:majorGridlines>
          <c:spPr>
            <a:ln w="9525" cap="flat" cmpd="sng" algn="ctr">
              <a:solidFill>
                <a:srgbClr val="FFC000">
                  <a:alpha val="34000"/>
                </a:srgbClr>
              </a:solidFill>
              <a:prstDash val="dashDot"/>
              <a:round/>
            </a:ln>
            <a:effectLst/>
          </c:spPr>
        </c:majorGridlines>
        <c:numFmt formatCode="General" sourceLinked="1"/>
        <c:majorTickMark val="none"/>
        <c:minorTickMark val="none"/>
        <c:tickLblPos val="nextTo"/>
        <c:crossAx val="83989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77519379844961"/>
          <c:y val="0.20599250936329588"/>
          <c:w val="0.8294573643410853"/>
          <c:h val="0.58801498127340823"/>
        </c:manualLayout>
      </c:layout>
      <c:barChart>
        <c:barDir val="bar"/>
        <c:grouping val="percentStacked"/>
        <c:varyColors val="0"/>
        <c:ser>
          <c:idx val="0"/>
          <c:order val="0"/>
          <c:spPr>
            <a:solidFill>
              <a:srgbClr val="FFC000"/>
            </a:solidFill>
            <a:ln>
              <a:noFill/>
            </a:ln>
            <a:effectLst/>
          </c:spPr>
          <c:invertIfNegative val="0"/>
          <c:val>
            <c:numRef>
              <c:f>'Pivot Table'!$P$13</c:f>
              <c:numCache>
                <c:formatCode>0%</c:formatCode>
                <c:ptCount val="1"/>
                <c:pt idx="0">
                  <c:v>0.16</c:v>
                </c:pt>
              </c:numCache>
            </c:numRef>
          </c:val>
          <c:extLst>
            <c:ext xmlns:c16="http://schemas.microsoft.com/office/drawing/2014/chart" uri="{C3380CC4-5D6E-409C-BE32-E72D297353CC}">
              <c16:uniqueId val="{00000000-2BE4-4B6C-ACF9-87DF2D8DB632}"/>
            </c:ext>
          </c:extLst>
        </c:ser>
        <c:ser>
          <c:idx val="1"/>
          <c:order val="1"/>
          <c:spPr>
            <a:solidFill>
              <a:schemeClr val="bg2">
                <a:lumMod val="75000"/>
              </a:schemeClr>
            </a:solidFill>
            <a:ln>
              <a:noFill/>
            </a:ln>
            <a:effectLst/>
          </c:spPr>
          <c:invertIfNegative val="0"/>
          <c:val>
            <c:numRef>
              <c:f>'Pivot Table'!$Q$13</c:f>
              <c:numCache>
                <c:formatCode>0%</c:formatCode>
                <c:ptCount val="1"/>
                <c:pt idx="0">
                  <c:v>0.84</c:v>
                </c:pt>
              </c:numCache>
            </c:numRef>
          </c:val>
          <c:extLst>
            <c:ext xmlns:c16="http://schemas.microsoft.com/office/drawing/2014/chart" uri="{C3380CC4-5D6E-409C-BE32-E72D297353CC}">
              <c16:uniqueId val="{00000001-2BE4-4B6C-ACF9-87DF2D8DB632}"/>
            </c:ext>
          </c:extLst>
        </c:ser>
        <c:dLbls>
          <c:showLegendKey val="0"/>
          <c:showVal val="0"/>
          <c:showCatName val="0"/>
          <c:showSerName val="0"/>
          <c:showPercent val="0"/>
          <c:showBubbleSize val="0"/>
        </c:dLbls>
        <c:gapWidth val="150"/>
        <c:overlap val="100"/>
        <c:axId val="843640576"/>
        <c:axId val="840232912"/>
      </c:barChart>
      <c:catAx>
        <c:axId val="843640576"/>
        <c:scaling>
          <c:orientation val="minMax"/>
        </c:scaling>
        <c:delete val="1"/>
        <c:axPos val="l"/>
        <c:majorTickMark val="none"/>
        <c:minorTickMark val="none"/>
        <c:tickLblPos val="nextTo"/>
        <c:crossAx val="840232912"/>
        <c:crosses val="autoZero"/>
        <c:auto val="1"/>
        <c:lblAlgn val="ctr"/>
        <c:lblOffset val="100"/>
        <c:noMultiLvlLbl val="0"/>
      </c:catAx>
      <c:valAx>
        <c:axId val="840232912"/>
        <c:scaling>
          <c:orientation val="minMax"/>
        </c:scaling>
        <c:delete val="1"/>
        <c:axPos val="b"/>
        <c:numFmt formatCode="0%" sourceLinked="1"/>
        <c:majorTickMark val="none"/>
        <c:minorTickMark val="none"/>
        <c:tickLblPos val="nextTo"/>
        <c:crossAx val="84364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70443229480036"/>
          <c:y val="0.25810694378505739"/>
          <c:w val="0.85017826864562285"/>
          <c:h val="0.58101414254324679"/>
        </c:manualLayout>
      </c:layout>
      <c:barChart>
        <c:barDir val="bar"/>
        <c:grouping val="percentStacked"/>
        <c:varyColors val="0"/>
        <c:ser>
          <c:idx val="0"/>
          <c:order val="0"/>
          <c:spPr>
            <a:solidFill>
              <a:srgbClr val="FFC000"/>
            </a:solidFill>
            <a:ln>
              <a:noFill/>
            </a:ln>
            <a:effectLst/>
          </c:spPr>
          <c:invertIfNegative val="0"/>
          <c:val>
            <c:numRef>
              <c:f>'Pivot Table'!$P$12</c:f>
              <c:numCache>
                <c:formatCode>0%</c:formatCode>
                <c:ptCount val="1"/>
                <c:pt idx="0">
                  <c:v>0.46</c:v>
                </c:pt>
              </c:numCache>
            </c:numRef>
          </c:val>
          <c:extLst>
            <c:ext xmlns:c16="http://schemas.microsoft.com/office/drawing/2014/chart" uri="{C3380CC4-5D6E-409C-BE32-E72D297353CC}">
              <c16:uniqueId val="{00000000-C638-4B84-9EA9-A9E42425A9AE}"/>
            </c:ext>
          </c:extLst>
        </c:ser>
        <c:ser>
          <c:idx val="1"/>
          <c:order val="1"/>
          <c:spPr>
            <a:solidFill>
              <a:schemeClr val="bg2">
                <a:lumMod val="75000"/>
              </a:schemeClr>
            </a:solidFill>
            <a:ln>
              <a:noFill/>
            </a:ln>
            <a:effectLst/>
          </c:spPr>
          <c:invertIfNegative val="0"/>
          <c:val>
            <c:numRef>
              <c:f>'Pivot Table'!$Q$12</c:f>
              <c:numCache>
                <c:formatCode>0%</c:formatCode>
                <c:ptCount val="1"/>
                <c:pt idx="0">
                  <c:v>0.54</c:v>
                </c:pt>
              </c:numCache>
            </c:numRef>
          </c:val>
          <c:extLst>
            <c:ext xmlns:c16="http://schemas.microsoft.com/office/drawing/2014/chart" uri="{C3380CC4-5D6E-409C-BE32-E72D297353CC}">
              <c16:uniqueId val="{00000001-C638-4B84-9EA9-A9E42425A9AE}"/>
            </c:ext>
          </c:extLst>
        </c:ser>
        <c:dLbls>
          <c:showLegendKey val="0"/>
          <c:showVal val="0"/>
          <c:showCatName val="0"/>
          <c:showSerName val="0"/>
          <c:showPercent val="0"/>
          <c:showBubbleSize val="0"/>
        </c:dLbls>
        <c:gapWidth val="150"/>
        <c:overlap val="100"/>
        <c:axId val="973482224"/>
        <c:axId val="840199792"/>
      </c:barChart>
      <c:catAx>
        <c:axId val="973482224"/>
        <c:scaling>
          <c:orientation val="minMax"/>
        </c:scaling>
        <c:delete val="1"/>
        <c:axPos val="l"/>
        <c:majorTickMark val="none"/>
        <c:minorTickMark val="none"/>
        <c:tickLblPos val="nextTo"/>
        <c:crossAx val="840199792"/>
        <c:crosses val="autoZero"/>
        <c:auto val="1"/>
        <c:lblAlgn val="ctr"/>
        <c:lblOffset val="100"/>
        <c:noMultiLvlLbl val="0"/>
      </c:catAx>
      <c:valAx>
        <c:axId val="840199792"/>
        <c:scaling>
          <c:orientation val="minMax"/>
        </c:scaling>
        <c:delete val="1"/>
        <c:axPos val="b"/>
        <c:numFmt formatCode="0%" sourceLinked="1"/>
        <c:majorTickMark val="none"/>
        <c:minorTickMark val="none"/>
        <c:tickLblPos val="nextTo"/>
        <c:crossAx val="97348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88952676902009"/>
          <c:y val="0"/>
          <c:w val="0.81481481481481477"/>
          <c:h val="0.47619047619047616"/>
        </c:manualLayout>
      </c:layout>
      <c:barChart>
        <c:barDir val="bar"/>
        <c:grouping val="percentStacked"/>
        <c:varyColors val="0"/>
        <c:ser>
          <c:idx val="0"/>
          <c:order val="0"/>
          <c:spPr>
            <a:solidFill>
              <a:srgbClr val="FFC000"/>
            </a:solidFill>
            <a:ln>
              <a:noFill/>
            </a:ln>
            <a:effectLst/>
          </c:spPr>
          <c:invertIfNegative val="0"/>
          <c:val>
            <c:numRef>
              <c:f>'Pivot Table'!$P$14</c:f>
              <c:numCache>
                <c:formatCode>0%</c:formatCode>
                <c:ptCount val="1"/>
                <c:pt idx="0">
                  <c:v>0.38</c:v>
                </c:pt>
              </c:numCache>
            </c:numRef>
          </c:val>
          <c:extLst>
            <c:ext xmlns:c16="http://schemas.microsoft.com/office/drawing/2014/chart" uri="{C3380CC4-5D6E-409C-BE32-E72D297353CC}">
              <c16:uniqueId val="{00000000-B28D-4FD2-82DD-2D9F72CB89C9}"/>
            </c:ext>
          </c:extLst>
        </c:ser>
        <c:ser>
          <c:idx val="1"/>
          <c:order val="1"/>
          <c:spPr>
            <a:solidFill>
              <a:schemeClr val="bg2">
                <a:lumMod val="75000"/>
              </a:schemeClr>
            </a:solidFill>
            <a:ln>
              <a:noFill/>
            </a:ln>
            <a:effectLst/>
          </c:spPr>
          <c:invertIfNegative val="0"/>
          <c:val>
            <c:numRef>
              <c:f>'Pivot Table'!$Q$14</c:f>
              <c:numCache>
                <c:formatCode>0%</c:formatCode>
                <c:ptCount val="1"/>
                <c:pt idx="0">
                  <c:v>0.62</c:v>
                </c:pt>
              </c:numCache>
            </c:numRef>
          </c:val>
          <c:extLst>
            <c:ext xmlns:c16="http://schemas.microsoft.com/office/drawing/2014/chart" uri="{C3380CC4-5D6E-409C-BE32-E72D297353CC}">
              <c16:uniqueId val="{00000001-B28D-4FD2-82DD-2D9F72CB89C9}"/>
            </c:ext>
          </c:extLst>
        </c:ser>
        <c:dLbls>
          <c:showLegendKey val="0"/>
          <c:showVal val="0"/>
          <c:showCatName val="0"/>
          <c:showSerName val="0"/>
          <c:showPercent val="0"/>
          <c:showBubbleSize val="0"/>
        </c:dLbls>
        <c:gapWidth val="150"/>
        <c:overlap val="100"/>
        <c:axId val="843628512"/>
        <c:axId val="840218032"/>
      </c:barChart>
      <c:catAx>
        <c:axId val="843628512"/>
        <c:scaling>
          <c:orientation val="minMax"/>
        </c:scaling>
        <c:delete val="1"/>
        <c:axPos val="l"/>
        <c:majorTickMark val="none"/>
        <c:minorTickMark val="none"/>
        <c:tickLblPos val="nextTo"/>
        <c:crossAx val="840218032"/>
        <c:crosses val="autoZero"/>
        <c:auto val="1"/>
        <c:lblAlgn val="ctr"/>
        <c:lblOffset val="100"/>
        <c:noMultiLvlLbl val="0"/>
      </c:catAx>
      <c:valAx>
        <c:axId val="840218032"/>
        <c:scaling>
          <c:orientation val="minMax"/>
        </c:scaling>
        <c:delete val="1"/>
        <c:axPos val="b"/>
        <c:numFmt formatCode="0%" sourceLinked="1"/>
        <c:majorTickMark val="none"/>
        <c:minorTickMark val="none"/>
        <c:tickLblPos val="nextTo"/>
        <c:crossAx val="84362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20465347237002"/>
          <c:y val="7.8512569415417691E-2"/>
          <c:w val="0.75392991416613464"/>
          <c:h val="0.84617344399992034"/>
        </c:manualLayout>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4B03-4514-B61F-9E01C2AD79B1}"/>
              </c:ext>
            </c:extLst>
          </c:dPt>
          <c:dPt>
            <c:idx val="1"/>
            <c:bubble3D val="0"/>
            <c:spPr>
              <a:solidFill>
                <a:schemeClr val="bg2">
                  <a:lumMod val="25000"/>
                </a:schemeClr>
              </a:solidFill>
              <a:ln w="19050">
                <a:noFill/>
              </a:ln>
              <a:effectLst/>
            </c:spPr>
            <c:extLst>
              <c:ext xmlns:c16="http://schemas.microsoft.com/office/drawing/2014/chart" uri="{C3380CC4-5D6E-409C-BE32-E72D297353CC}">
                <c16:uniqueId val="{00000003-4B03-4514-B61F-9E01C2AD79B1}"/>
              </c:ext>
            </c:extLst>
          </c:dPt>
          <c:val>
            <c:numRef>
              <c:f>'Pivot Table'!$I$19:$J$19</c:f>
              <c:numCache>
                <c:formatCode>0%</c:formatCode>
                <c:ptCount val="2"/>
                <c:pt idx="0">
                  <c:v>0.52</c:v>
                </c:pt>
                <c:pt idx="1">
                  <c:v>0.48</c:v>
                </c:pt>
              </c:numCache>
            </c:numRef>
          </c:val>
          <c:extLst>
            <c:ext xmlns:c16="http://schemas.microsoft.com/office/drawing/2014/chart" uri="{C3380CC4-5D6E-409C-BE32-E72D297353CC}">
              <c16:uniqueId val="{00000004-4B03-4514-B61F-9E01C2AD79B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96400449943756"/>
          <c:y val="0.1347638365691104"/>
          <c:w val="0.58158230221222351"/>
          <c:h val="0.749096880131363"/>
        </c:manualLayout>
      </c:layout>
      <c:doughnutChart>
        <c:varyColors val="1"/>
        <c:ser>
          <c:idx val="0"/>
          <c:order val="0"/>
          <c:spPr>
            <a:ln>
              <a:noFill/>
            </a:ln>
          </c:spPr>
          <c:dPt>
            <c:idx val="0"/>
            <c:bubble3D val="0"/>
            <c:spPr>
              <a:solidFill>
                <a:srgbClr val="FFC000"/>
              </a:solidFill>
              <a:ln w="19050">
                <a:noFill/>
              </a:ln>
              <a:effectLst/>
            </c:spPr>
            <c:extLst>
              <c:ext xmlns:c16="http://schemas.microsoft.com/office/drawing/2014/chart" uri="{C3380CC4-5D6E-409C-BE32-E72D297353CC}">
                <c16:uniqueId val="{00000001-4971-46F6-87B1-2C82E99B1087}"/>
              </c:ext>
            </c:extLst>
          </c:dPt>
          <c:dPt>
            <c:idx val="1"/>
            <c:bubble3D val="0"/>
            <c:spPr>
              <a:solidFill>
                <a:schemeClr val="bg2">
                  <a:lumMod val="25000"/>
                </a:schemeClr>
              </a:solidFill>
              <a:ln w="19050">
                <a:noFill/>
              </a:ln>
              <a:effectLst/>
            </c:spPr>
            <c:extLst>
              <c:ext xmlns:c16="http://schemas.microsoft.com/office/drawing/2014/chart" uri="{C3380CC4-5D6E-409C-BE32-E72D297353CC}">
                <c16:uniqueId val="{00000003-4971-46F6-87B1-2C82E99B1087}"/>
              </c:ext>
            </c:extLst>
          </c:dPt>
          <c:val>
            <c:numRef>
              <c:f>'Pivot Table'!$I$20:$J$20</c:f>
              <c:numCache>
                <c:formatCode>0%</c:formatCode>
                <c:ptCount val="2"/>
                <c:pt idx="0">
                  <c:v>0.48</c:v>
                </c:pt>
                <c:pt idx="1">
                  <c:v>0.52</c:v>
                </c:pt>
              </c:numCache>
            </c:numRef>
          </c:val>
          <c:extLst>
            <c:ext xmlns:c16="http://schemas.microsoft.com/office/drawing/2014/chart" uri="{C3380CC4-5D6E-409C-BE32-E72D297353CC}">
              <c16:uniqueId val="{00000004-4971-46F6-87B1-2C82E99B108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768431983385256E-2"/>
          <c:y val="7.7683727034120728E-2"/>
          <c:w val="0.97923156801661471"/>
          <c:h val="0.75730461970942153"/>
        </c:manualLayout>
      </c:layout>
      <c:barChart>
        <c:barDir val="col"/>
        <c:grouping val="clustered"/>
        <c:varyColors val="0"/>
        <c:ser>
          <c:idx val="0"/>
          <c:order val="0"/>
          <c:tx>
            <c:strRef>
              <c:f>'Pivot Table'!$D$14</c:f>
              <c:strCache>
                <c:ptCount val="1"/>
                <c:pt idx="0">
                  <c:v>Analyst</c:v>
                </c:pt>
              </c:strCache>
            </c:strRef>
          </c:tx>
          <c:spPr>
            <a:solidFill>
              <a:schemeClr val="accent1"/>
            </a:solidFill>
            <a:ln>
              <a:noFill/>
            </a:ln>
            <a:effectLst/>
          </c:spPr>
          <c:invertIfNegative val="0"/>
          <c:dLbls>
            <c:dLbl>
              <c:idx val="0"/>
              <c:layout>
                <c:manualLayout>
                  <c:x val="-1.5723270440251583E-2"/>
                  <c:y val="-7.755127558184767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BA-45A8-BBB8-B86B7FAAFB09}"/>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Table'!$E$14</c:f>
              <c:numCache>
                <c:formatCode>_ * #,##0_ ;_ * \-#,##0_ ;_ * "-"??_ ;_ @_ </c:formatCode>
                <c:ptCount val="1"/>
                <c:pt idx="0">
                  <c:v>167041</c:v>
                </c:pt>
              </c:numCache>
            </c:numRef>
          </c:val>
          <c:extLst>
            <c:ext xmlns:c16="http://schemas.microsoft.com/office/drawing/2014/chart" uri="{C3380CC4-5D6E-409C-BE32-E72D297353CC}">
              <c16:uniqueId val="{00000000-27E4-4279-96EA-CF1E3D14FCF0}"/>
            </c:ext>
          </c:extLst>
        </c:ser>
        <c:ser>
          <c:idx val="1"/>
          <c:order val="1"/>
          <c:tx>
            <c:strRef>
              <c:f>'Pivot Table'!$D$15</c:f>
              <c:strCache>
                <c:ptCount val="1"/>
                <c:pt idx="0">
                  <c:v>Designer</c:v>
                </c:pt>
              </c:strCache>
            </c:strRef>
          </c:tx>
          <c:spPr>
            <a:solidFill>
              <a:schemeClr val="bg1">
                <a:lumMod val="50000"/>
              </a:schemeClr>
            </a:solidFill>
            <a:ln>
              <a:noFill/>
            </a:ln>
            <a:effectLst/>
          </c:spPr>
          <c:invertIfNegative val="0"/>
          <c:dLbls>
            <c:dLbl>
              <c:idx val="0"/>
              <c:layout>
                <c:manualLayout>
                  <c:x val="-6.2893081761006289E-2"/>
                  <c:y val="8.460236886632825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BA-45A8-BBB8-B86B7FAAFB09}"/>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Table'!$E$15</c:f>
              <c:numCache>
                <c:formatCode>_ * #,##0_ ;_ * \-#,##0_ ;_ * "-"??_ ;_ @_ </c:formatCode>
                <c:ptCount val="1"/>
                <c:pt idx="0">
                  <c:v>613842</c:v>
                </c:pt>
              </c:numCache>
            </c:numRef>
          </c:val>
          <c:extLst>
            <c:ext xmlns:c16="http://schemas.microsoft.com/office/drawing/2014/chart" uri="{C3380CC4-5D6E-409C-BE32-E72D297353CC}">
              <c16:uniqueId val="{00000001-27E4-4279-96EA-CF1E3D14FCF0}"/>
            </c:ext>
          </c:extLst>
        </c:ser>
        <c:ser>
          <c:idx val="2"/>
          <c:order val="2"/>
          <c:tx>
            <c:strRef>
              <c:f>'Pivot Table'!$D$16</c:f>
              <c:strCache>
                <c:ptCount val="1"/>
                <c:pt idx="0">
                  <c:v>Developer</c:v>
                </c:pt>
              </c:strCache>
            </c:strRef>
          </c:tx>
          <c:spPr>
            <a:solidFill>
              <a:srgbClr val="D4D45A">
                <a:alpha val="83000"/>
              </a:srgbClr>
            </a:solidFill>
            <a:ln>
              <a:noFill/>
            </a:ln>
            <a:effectLst/>
          </c:spPr>
          <c:invertIfNegative val="0"/>
          <c:dLbls>
            <c:dLbl>
              <c:idx val="0"/>
              <c:layout>
                <c:manualLayout>
                  <c:x val="-1.0482180293501E-2"/>
                  <c:y val="8.460236886632825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BA-45A8-BBB8-B86B7FAAFB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Table'!$E$16</c:f>
              <c:numCache>
                <c:formatCode>_ * #,##0_ ;_ * \-#,##0_ ;_ * "-"??_ ;_ @_ </c:formatCode>
                <c:ptCount val="1"/>
                <c:pt idx="0">
                  <c:v>633594</c:v>
                </c:pt>
              </c:numCache>
            </c:numRef>
          </c:val>
          <c:extLst>
            <c:ext xmlns:c16="http://schemas.microsoft.com/office/drawing/2014/chart" uri="{C3380CC4-5D6E-409C-BE32-E72D297353CC}">
              <c16:uniqueId val="{00000002-27E4-4279-96EA-CF1E3D14FCF0}"/>
            </c:ext>
          </c:extLst>
        </c:ser>
        <c:ser>
          <c:idx val="3"/>
          <c:order val="3"/>
          <c:tx>
            <c:strRef>
              <c:f>'Pivot Table'!$D$17</c:f>
              <c:strCache>
                <c:ptCount val="1"/>
                <c:pt idx="0">
                  <c:v>HR Specialist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Table'!$E$17</c:f>
              <c:numCache>
                <c:formatCode>_ * #,##0_ ;_ * \-#,##0_ ;_ * "-"??_ ;_ @_ </c:formatCode>
                <c:ptCount val="1"/>
                <c:pt idx="0">
                  <c:v>959266</c:v>
                </c:pt>
              </c:numCache>
            </c:numRef>
          </c:val>
          <c:extLst>
            <c:ext xmlns:c16="http://schemas.microsoft.com/office/drawing/2014/chart" uri="{C3380CC4-5D6E-409C-BE32-E72D297353CC}">
              <c16:uniqueId val="{00000003-27E4-4279-96EA-CF1E3D14FCF0}"/>
            </c:ext>
          </c:extLst>
        </c:ser>
        <c:ser>
          <c:idx val="4"/>
          <c:order val="4"/>
          <c:tx>
            <c:strRef>
              <c:f>'Pivot Table'!$D$18</c:f>
              <c:strCache>
                <c:ptCount val="1"/>
                <c:pt idx="0">
                  <c:v>Manager</c:v>
                </c:pt>
              </c:strCache>
            </c:strRef>
          </c:tx>
          <c:spPr>
            <a:solidFill>
              <a:srgbClr val="FFC000">
                <a:alpha val="93000"/>
              </a:srgbClr>
            </a:solidFill>
            <a:ln>
              <a:noFill/>
            </a:ln>
            <a:effectLst/>
          </c:spPr>
          <c:invertIfNegative val="0"/>
          <c:dLbls>
            <c:dLbl>
              <c:idx val="0"/>
              <c:layout>
                <c:manualLayout>
                  <c:x val="3.144654088050314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BA-45A8-BBB8-B86B7FAAFB09}"/>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Table'!$E$18</c:f>
              <c:numCache>
                <c:formatCode>_ * #,##0_ ;_ * \-#,##0_ ;_ * "-"??_ ;_ @_ </c:formatCode>
                <c:ptCount val="1"/>
                <c:pt idx="0">
                  <c:v>731170</c:v>
                </c:pt>
              </c:numCache>
            </c:numRef>
          </c:val>
          <c:extLst>
            <c:ext xmlns:c16="http://schemas.microsoft.com/office/drawing/2014/chart" uri="{C3380CC4-5D6E-409C-BE32-E72D297353CC}">
              <c16:uniqueId val="{00000004-27E4-4279-96EA-CF1E3D14FCF0}"/>
            </c:ext>
          </c:extLst>
        </c:ser>
        <c:dLbls>
          <c:dLblPos val="outEnd"/>
          <c:showLegendKey val="0"/>
          <c:showVal val="1"/>
          <c:showCatName val="0"/>
          <c:showSerName val="0"/>
          <c:showPercent val="0"/>
          <c:showBubbleSize val="0"/>
        </c:dLbls>
        <c:gapWidth val="219"/>
        <c:overlap val="-27"/>
        <c:axId val="1606844511"/>
        <c:axId val="1608793583"/>
      </c:barChart>
      <c:catAx>
        <c:axId val="16068445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608793583"/>
        <c:crosses val="autoZero"/>
        <c:auto val="1"/>
        <c:lblAlgn val="ctr"/>
        <c:lblOffset val="100"/>
        <c:noMultiLvlLbl val="0"/>
      </c:catAx>
      <c:valAx>
        <c:axId val="1608793583"/>
        <c:scaling>
          <c:orientation val="minMax"/>
        </c:scaling>
        <c:delete val="1"/>
        <c:axPos val="l"/>
        <c:majorGridlines>
          <c:spPr>
            <a:ln w="9525" cap="flat" cmpd="sng" algn="ctr">
              <a:solidFill>
                <a:srgbClr val="D4D45A">
                  <a:alpha val="48000"/>
                </a:srgbClr>
              </a:solidFill>
              <a:prstDash val="dashDot"/>
              <a:round/>
            </a:ln>
            <a:effectLst/>
          </c:spPr>
        </c:majorGridlines>
        <c:numFmt formatCode="_ * #,##0_ ;_ * \-#,##0_ ;_ * &quot;-&quot;??_ ;_ @_ " sourceLinked="1"/>
        <c:majorTickMark val="none"/>
        <c:minorTickMark val="none"/>
        <c:tickLblPos val="nextTo"/>
        <c:crossAx val="16068445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table.xlsx]Pivot Table!PivotTable4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80008622841454"/>
          <c:y val="6.3990692262943571E-2"/>
          <c:w val="0.77340836718176798"/>
          <c:h val="0.9046986773712109"/>
        </c:manualLayout>
      </c:layout>
      <c:barChart>
        <c:barDir val="bar"/>
        <c:grouping val="clustered"/>
        <c:varyColors val="0"/>
        <c:ser>
          <c:idx val="0"/>
          <c:order val="0"/>
          <c:tx>
            <c:strRef>
              <c:f>'Pivot Table'!$Z$5</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Table'!$Y$6:$Y$11</c:f>
              <c:strCache>
                <c:ptCount val="5"/>
                <c:pt idx="0">
                  <c:v>Central</c:v>
                </c:pt>
                <c:pt idx="1">
                  <c:v>East</c:v>
                </c:pt>
                <c:pt idx="2">
                  <c:v>North</c:v>
                </c:pt>
                <c:pt idx="3">
                  <c:v>South</c:v>
                </c:pt>
                <c:pt idx="4">
                  <c:v>West</c:v>
                </c:pt>
              </c:strCache>
            </c:strRef>
          </c:cat>
          <c:val>
            <c:numRef>
              <c:f>'Pivot Table'!$Z$6:$Z$11</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A4B9-4B4F-833B-2264AAC0CB9E}"/>
            </c:ext>
          </c:extLst>
        </c:ser>
        <c:dLbls>
          <c:dLblPos val="outEnd"/>
          <c:showLegendKey val="0"/>
          <c:showVal val="1"/>
          <c:showCatName val="0"/>
          <c:showSerName val="0"/>
          <c:showPercent val="0"/>
          <c:showBubbleSize val="0"/>
        </c:dLbls>
        <c:gapWidth val="50"/>
        <c:axId val="1553969967"/>
        <c:axId val="1463849711"/>
      </c:barChart>
      <c:catAx>
        <c:axId val="155396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463849711"/>
        <c:crosses val="autoZero"/>
        <c:auto val="1"/>
        <c:lblAlgn val="ctr"/>
        <c:lblOffset val="100"/>
        <c:noMultiLvlLbl val="0"/>
      </c:catAx>
      <c:valAx>
        <c:axId val="1463849711"/>
        <c:scaling>
          <c:orientation val="minMax"/>
        </c:scaling>
        <c:delete val="1"/>
        <c:axPos val="b"/>
        <c:numFmt formatCode="General" sourceLinked="1"/>
        <c:majorTickMark val="none"/>
        <c:minorTickMark val="none"/>
        <c:tickLblPos val="nextTo"/>
        <c:crossAx val="155396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9.xml"/><Relationship Id="rId18"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chart" Target="../charts/chart8.xml"/><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7.xml"/><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chart" Target="../charts/chart6.xml"/><Relationship Id="rId19" Type="http://schemas.openxmlformats.org/officeDocument/2006/relationships/image" Target="../media/image10.sv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10</xdr:col>
      <xdr:colOff>917</xdr:colOff>
      <xdr:row>29</xdr:row>
      <xdr:rowOff>166585</xdr:rowOff>
    </xdr:from>
    <xdr:to>
      <xdr:col>11</xdr:col>
      <xdr:colOff>471317</xdr:colOff>
      <xdr:row>31</xdr:row>
      <xdr:rowOff>52825</xdr:rowOff>
    </xdr:to>
    <xdr:sp macro="" textlink="">
      <xdr:nvSpPr>
        <xdr:cNvPr id="191" name="Rectangle: Rounded Corners 190">
          <a:extLst>
            <a:ext uri="{FF2B5EF4-FFF2-40B4-BE49-F238E27FC236}">
              <a16:creationId xmlns:a16="http://schemas.microsoft.com/office/drawing/2014/main" id="{18E97D1D-E975-953D-2415-F8E4A67EEC1D}"/>
            </a:ext>
          </a:extLst>
        </xdr:cNvPr>
        <xdr:cNvSpPr/>
      </xdr:nvSpPr>
      <xdr:spPr>
        <a:xfrm>
          <a:off x="6096917" y="5500585"/>
          <a:ext cx="1080000" cy="252000"/>
        </a:xfrm>
        <a:prstGeom prst="roundRect">
          <a:avLst>
            <a:gd name="adj" fmla="val 3178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7620</xdr:colOff>
      <xdr:row>29</xdr:row>
      <xdr:rowOff>166585</xdr:rowOff>
    </xdr:from>
    <xdr:to>
      <xdr:col>11</xdr:col>
      <xdr:colOff>478020</xdr:colOff>
      <xdr:row>31</xdr:row>
      <xdr:rowOff>52825</xdr:rowOff>
    </xdr:to>
    <xdr:sp macro="" textlink="">
      <xdr:nvSpPr>
        <xdr:cNvPr id="172" name="Rectangle: Rounded Corners 171">
          <a:extLst>
            <a:ext uri="{FF2B5EF4-FFF2-40B4-BE49-F238E27FC236}">
              <a16:creationId xmlns:a16="http://schemas.microsoft.com/office/drawing/2014/main" id="{B1434EAF-519A-5292-573C-F01896DE949F}"/>
            </a:ext>
          </a:extLst>
        </xdr:cNvPr>
        <xdr:cNvSpPr/>
      </xdr:nvSpPr>
      <xdr:spPr>
        <a:xfrm>
          <a:off x="6103620" y="5500585"/>
          <a:ext cx="1080000" cy="252000"/>
        </a:xfrm>
        <a:prstGeom prst="roundRect">
          <a:avLst>
            <a:gd name="adj" fmla="val 3178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77117</xdr:colOff>
      <xdr:row>25</xdr:row>
      <xdr:rowOff>17410</xdr:rowOff>
    </xdr:from>
    <xdr:to>
      <xdr:col>11</xdr:col>
      <xdr:colOff>547517</xdr:colOff>
      <xdr:row>26</xdr:row>
      <xdr:rowOff>86530</xdr:rowOff>
    </xdr:to>
    <xdr:sp macro="" textlink="">
      <xdr:nvSpPr>
        <xdr:cNvPr id="189" name="Rectangle: Rounded Corners 188">
          <a:extLst>
            <a:ext uri="{FF2B5EF4-FFF2-40B4-BE49-F238E27FC236}">
              <a16:creationId xmlns:a16="http://schemas.microsoft.com/office/drawing/2014/main" id="{98561A63-6EAB-4C61-B6FA-B811E569EA5E}"/>
            </a:ext>
          </a:extLst>
        </xdr:cNvPr>
        <xdr:cNvSpPr/>
      </xdr:nvSpPr>
      <xdr:spPr>
        <a:xfrm>
          <a:off x="6173117" y="4619890"/>
          <a:ext cx="1080000" cy="252000"/>
        </a:xfrm>
        <a:prstGeom prst="roundRect">
          <a:avLst>
            <a:gd name="adj" fmla="val 3178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39017</xdr:colOff>
      <xdr:row>23</xdr:row>
      <xdr:rowOff>76200</xdr:rowOff>
    </xdr:from>
    <xdr:to>
      <xdr:col>11</xdr:col>
      <xdr:colOff>509417</xdr:colOff>
      <xdr:row>24</xdr:row>
      <xdr:rowOff>145320</xdr:rowOff>
    </xdr:to>
    <xdr:sp macro="" textlink="">
      <xdr:nvSpPr>
        <xdr:cNvPr id="190" name="Rectangle: Rounded Corners 189">
          <a:extLst>
            <a:ext uri="{FF2B5EF4-FFF2-40B4-BE49-F238E27FC236}">
              <a16:creationId xmlns:a16="http://schemas.microsoft.com/office/drawing/2014/main" id="{E3DD73D5-AFB4-4AAB-BAAD-8489FFB57672}"/>
            </a:ext>
          </a:extLst>
        </xdr:cNvPr>
        <xdr:cNvSpPr/>
      </xdr:nvSpPr>
      <xdr:spPr>
        <a:xfrm>
          <a:off x="6135017" y="4312920"/>
          <a:ext cx="1080000" cy="252000"/>
        </a:xfrm>
        <a:prstGeom prst="roundRect">
          <a:avLst>
            <a:gd name="adj" fmla="val 3178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601980</xdr:colOff>
      <xdr:row>31</xdr:row>
      <xdr:rowOff>95895</xdr:rowOff>
    </xdr:from>
    <xdr:to>
      <xdr:col>11</xdr:col>
      <xdr:colOff>462780</xdr:colOff>
      <xdr:row>32</xdr:row>
      <xdr:rowOff>165015</xdr:rowOff>
    </xdr:to>
    <xdr:sp macro="" textlink="">
      <xdr:nvSpPr>
        <xdr:cNvPr id="167" name="Rectangle: Rounded Corners 166">
          <a:extLst>
            <a:ext uri="{FF2B5EF4-FFF2-40B4-BE49-F238E27FC236}">
              <a16:creationId xmlns:a16="http://schemas.microsoft.com/office/drawing/2014/main" id="{B2A2463B-2D3D-4298-9405-5453CD0E046D}"/>
            </a:ext>
          </a:extLst>
        </xdr:cNvPr>
        <xdr:cNvSpPr/>
      </xdr:nvSpPr>
      <xdr:spPr>
        <a:xfrm>
          <a:off x="6088380" y="5795655"/>
          <a:ext cx="1080000" cy="252000"/>
        </a:xfrm>
        <a:prstGeom prst="roundRect">
          <a:avLst>
            <a:gd name="adj" fmla="val 31786"/>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77119</xdr:colOff>
      <xdr:row>31</xdr:row>
      <xdr:rowOff>94840</xdr:rowOff>
    </xdr:from>
    <xdr:to>
      <xdr:col>11</xdr:col>
      <xdr:colOff>547519</xdr:colOff>
      <xdr:row>32</xdr:row>
      <xdr:rowOff>163960</xdr:rowOff>
    </xdr:to>
    <xdr:sp macro="" textlink="">
      <xdr:nvSpPr>
        <xdr:cNvPr id="166" name="Rectangle: Rounded Corners 165">
          <a:extLst>
            <a:ext uri="{FF2B5EF4-FFF2-40B4-BE49-F238E27FC236}">
              <a16:creationId xmlns:a16="http://schemas.microsoft.com/office/drawing/2014/main" id="{8AE37652-44EF-46CC-9F25-690F23C833C2}"/>
            </a:ext>
          </a:extLst>
        </xdr:cNvPr>
        <xdr:cNvSpPr/>
      </xdr:nvSpPr>
      <xdr:spPr>
        <a:xfrm>
          <a:off x="6173119" y="5794600"/>
          <a:ext cx="1080000" cy="252000"/>
        </a:xfrm>
        <a:prstGeom prst="roundRect">
          <a:avLst>
            <a:gd name="adj" fmla="val 31786"/>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77119</xdr:colOff>
      <xdr:row>29</xdr:row>
      <xdr:rowOff>167312</xdr:rowOff>
    </xdr:from>
    <xdr:to>
      <xdr:col>11</xdr:col>
      <xdr:colOff>547519</xdr:colOff>
      <xdr:row>31</xdr:row>
      <xdr:rowOff>53552</xdr:rowOff>
    </xdr:to>
    <xdr:sp macro="" textlink="">
      <xdr:nvSpPr>
        <xdr:cNvPr id="180" name="Rectangle: Rounded Corners 179">
          <a:extLst>
            <a:ext uri="{FF2B5EF4-FFF2-40B4-BE49-F238E27FC236}">
              <a16:creationId xmlns:a16="http://schemas.microsoft.com/office/drawing/2014/main" id="{7E514B97-1095-4C1A-BD82-31D01A177D57}"/>
            </a:ext>
          </a:extLst>
        </xdr:cNvPr>
        <xdr:cNvSpPr/>
      </xdr:nvSpPr>
      <xdr:spPr>
        <a:xfrm>
          <a:off x="6173119" y="5501312"/>
          <a:ext cx="1080000" cy="252000"/>
        </a:xfrm>
        <a:prstGeom prst="roundRect">
          <a:avLst>
            <a:gd name="adj" fmla="val 31786"/>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77119</xdr:colOff>
      <xdr:row>28</xdr:row>
      <xdr:rowOff>56904</xdr:rowOff>
    </xdr:from>
    <xdr:to>
      <xdr:col>11</xdr:col>
      <xdr:colOff>547519</xdr:colOff>
      <xdr:row>29</xdr:row>
      <xdr:rowOff>126024</xdr:rowOff>
    </xdr:to>
    <xdr:sp macro="" textlink="">
      <xdr:nvSpPr>
        <xdr:cNvPr id="181" name="Rectangle: Rounded Corners 180">
          <a:extLst>
            <a:ext uri="{FF2B5EF4-FFF2-40B4-BE49-F238E27FC236}">
              <a16:creationId xmlns:a16="http://schemas.microsoft.com/office/drawing/2014/main" id="{92C4A7CA-1B05-4AE2-9D70-5EC138E1F0D2}"/>
            </a:ext>
          </a:extLst>
        </xdr:cNvPr>
        <xdr:cNvSpPr/>
      </xdr:nvSpPr>
      <xdr:spPr>
        <a:xfrm>
          <a:off x="6173119" y="5208024"/>
          <a:ext cx="1080000" cy="252000"/>
        </a:xfrm>
        <a:prstGeom prst="roundRect">
          <a:avLst>
            <a:gd name="adj" fmla="val 31786"/>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77119</xdr:colOff>
      <xdr:row>26</xdr:row>
      <xdr:rowOff>129376</xdr:rowOff>
    </xdr:from>
    <xdr:to>
      <xdr:col>11</xdr:col>
      <xdr:colOff>547519</xdr:colOff>
      <xdr:row>28</xdr:row>
      <xdr:rowOff>15616</xdr:rowOff>
    </xdr:to>
    <xdr:sp macro="" textlink="">
      <xdr:nvSpPr>
        <xdr:cNvPr id="182" name="Rectangle: Rounded Corners 181">
          <a:extLst>
            <a:ext uri="{FF2B5EF4-FFF2-40B4-BE49-F238E27FC236}">
              <a16:creationId xmlns:a16="http://schemas.microsoft.com/office/drawing/2014/main" id="{2733396D-3264-4363-8545-07114F3F3083}"/>
            </a:ext>
          </a:extLst>
        </xdr:cNvPr>
        <xdr:cNvSpPr/>
      </xdr:nvSpPr>
      <xdr:spPr>
        <a:xfrm>
          <a:off x="6173119" y="4914736"/>
          <a:ext cx="1080000" cy="252000"/>
        </a:xfrm>
        <a:prstGeom prst="roundRect">
          <a:avLst>
            <a:gd name="adj" fmla="val 31786"/>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77119</xdr:colOff>
      <xdr:row>25</xdr:row>
      <xdr:rowOff>18968</xdr:rowOff>
    </xdr:from>
    <xdr:to>
      <xdr:col>11</xdr:col>
      <xdr:colOff>547519</xdr:colOff>
      <xdr:row>26</xdr:row>
      <xdr:rowOff>88088</xdr:rowOff>
    </xdr:to>
    <xdr:sp macro="" textlink="">
      <xdr:nvSpPr>
        <xdr:cNvPr id="183" name="Rectangle: Rounded Corners 182">
          <a:extLst>
            <a:ext uri="{FF2B5EF4-FFF2-40B4-BE49-F238E27FC236}">
              <a16:creationId xmlns:a16="http://schemas.microsoft.com/office/drawing/2014/main" id="{BF81CE00-AABA-4F2C-A625-3B7A1CA7332B}"/>
            </a:ext>
          </a:extLst>
        </xdr:cNvPr>
        <xdr:cNvSpPr/>
      </xdr:nvSpPr>
      <xdr:spPr>
        <a:xfrm>
          <a:off x="6173119" y="4621448"/>
          <a:ext cx="1080000" cy="252000"/>
        </a:xfrm>
        <a:prstGeom prst="roundRect">
          <a:avLst>
            <a:gd name="adj" fmla="val 31786"/>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77119</xdr:colOff>
      <xdr:row>23</xdr:row>
      <xdr:rowOff>91440</xdr:rowOff>
    </xdr:from>
    <xdr:to>
      <xdr:col>11</xdr:col>
      <xdr:colOff>547519</xdr:colOff>
      <xdr:row>24</xdr:row>
      <xdr:rowOff>160560</xdr:rowOff>
    </xdr:to>
    <xdr:sp macro="" textlink="">
      <xdr:nvSpPr>
        <xdr:cNvPr id="184" name="Rectangle: Rounded Corners 183">
          <a:extLst>
            <a:ext uri="{FF2B5EF4-FFF2-40B4-BE49-F238E27FC236}">
              <a16:creationId xmlns:a16="http://schemas.microsoft.com/office/drawing/2014/main" id="{6AD40C6F-1EC4-4E0F-82B6-21264129815D}"/>
            </a:ext>
          </a:extLst>
        </xdr:cNvPr>
        <xdr:cNvSpPr/>
      </xdr:nvSpPr>
      <xdr:spPr>
        <a:xfrm>
          <a:off x="6173119" y="4328160"/>
          <a:ext cx="1080000" cy="252000"/>
        </a:xfrm>
        <a:prstGeom prst="roundRect">
          <a:avLst>
            <a:gd name="adj" fmla="val 31786"/>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601980</xdr:colOff>
      <xdr:row>31</xdr:row>
      <xdr:rowOff>106680</xdr:rowOff>
    </xdr:from>
    <xdr:to>
      <xdr:col>11</xdr:col>
      <xdr:colOff>462780</xdr:colOff>
      <xdr:row>32</xdr:row>
      <xdr:rowOff>175800</xdr:rowOff>
    </xdr:to>
    <xdr:sp macro="" textlink="">
      <xdr:nvSpPr>
        <xdr:cNvPr id="165" name="Rectangle: Rounded Corners 164">
          <a:extLst>
            <a:ext uri="{FF2B5EF4-FFF2-40B4-BE49-F238E27FC236}">
              <a16:creationId xmlns:a16="http://schemas.microsoft.com/office/drawing/2014/main" id="{197A6413-5A87-E2C3-1C43-559AC247CE5B}"/>
            </a:ext>
          </a:extLst>
        </xdr:cNvPr>
        <xdr:cNvSpPr/>
      </xdr:nvSpPr>
      <xdr:spPr>
        <a:xfrm>
          <a:off x="6088380" y="5806440"/>
          <a:ext cx="1080000" cy="252000"/>
        </a:xfrm>
        <a:prstGeom prst="roundRect">
          <a:avLst>
            <a:gd name="adj" fmla="val 31786"/>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1</xdr:row>
      <xdr:rowOff>99060</xdr:rowOff>
    </xdr:from>
    <xdr:to>
      <xdr:col>17</xdr:col>
      <xdr:colOff>106680</xdr:colOff>
      <xdr:row>34</xdr:row>
      <xdr:rowOff>143040</xdr:rowOff>
    </xdr:to>
    <xdr:sp macro="" textlink="">
      <xdr:nvSpPr>
        <xdr:cNvPr id="2" name="Rectangle: Rounded Corners 1">
          <a:extLst>
            <a:ext uri="{FF2B5EF4-FFF2-40B4-BE49-F238E27FC236}">
              <a16:creationId xmlns:a16="http://schemas.microsoft.com/office/drawing/2014/main" id="{F16DF59C-AC82-25B4-472E-D280B825F901}"/>
            </a:ext>
          </a:extLst>
        </xdr:cNvPr>
        <xdr:cNvSpPr/>
      </xdr:nvSpPr>
      <xdr:spPr>
        <a:xfrm>
          <a:off x="60960" y="306878"/>
          <a:ext cx="10408920" cy="5987580"/>
        </a:xfrm>
        <a:prstGeom prst="roundRect">
          <a:avLst>
            <a:gd name="adj" fmla="val 1185"/>
          </a:avLst>
        </a:prstGeom>
        <a:solidFill>
          <a:srgbClr val="1F1F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243840</xdr:colOff>
      <xdr:row>23</xdr:row>
      <xdr:rowOff>129540</xdr:rowOff>
    </xdr:from>
    <xdr:to>
      <xdr:col>3</xdr:col>
      <xdr:colOff>323040</xdr:colOff>
      <xdr:row>33</xdr:row>
      <xdr:rowOff>100740</xdr:rowOff>
    </xdr:to>
    <xdr:sp macro="" textlink="">
      <xdr:nvSpPr>
        <xdr:cNvPr id="3" name="Rectangle: Rounded Corners 2">
          <a:extLst>
            <a:ext uri="{FF2B5EF4-FFF2-40B4-BE49-F238E27FC236}">
              <a16:creationId xmlns:a16="http://schemas.microsoft.com/office/drawing/2014/main" id="{E936E132-FA8D-F731-F347-48104DF69945}"/>
            </a:ext>
          </a:extLst>
        </xdr:cNvPr>
        <xdr:cNvSpPr/>
      </xdr:nvSpPr>
      <xdr:spPr>
        <a:xfrm>
          <a:off x="243840" y="4366260"/>
          <a:ext cx="1908000" cy="1800000"/>
        </a:xfrm>
        <a:prstGeom prst="roundRect">
          <a:avLst>
            <a:gd name="adj" fmla="val 650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266700</xdr:colOff>
      <xdr:row>7</xdr:row>
      <xdr:rowOff>68580</xdr:rowOff>
    </xdr:from>
    <xdr:to>
      <xdr:col>3</xdr:col>
      <xdr:colOff>345900</xdr:colOff>
      <xdr:row>23</xdr:row>
      <xdr:rowOff>46680</xdr:rowOff>
    </xdr:to>
    <xdr:sp macro="" textlink="">
      <xdr:nvSpPr>
        <xdr:cNvPr id="4" name="Rectangle: Rounded Corners 3">
          <a:extLst>
            <a:ext uri="{FF2B5EF4-FFF2-40B4-BE49-F238E27FC236}">
              <a16:creationId xmlns:a16="http://schemas.microsoft.com/office/drawing/2014/main" id="{DBC2EF84-7E15-9594-F322-74E827F550D3}"/>
            </a:ext>
          </a:extLst>
        </xdr:cNvPr>
        <xdr:cNvSpPr/>
      </xdr:nvSpPr>
      <xdr:spPr>
        <a:xfrm>
          <a:off x="266700" y="1379220"/>
          <a:ext cx="1908000" cy="2904180"/>
        </a:xfrm>
        <a:prstGeom prst="roundRect">
          <a:avLst>
            <a:gd name="adj" fmla="val 4366"/>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419100</xdr:colOff>
      <xdr:row>20</xdr:row>
      <xdr:rowOff>137160</xdr:rowOff>
    </xdr:from>
    <xdr:to>
      <xdr:col>7</xdr:col>
      <xdr:colOff>449580</xdr:colOff>
      <xdr:row>33</xdr:row>
      <xdr:rowOff>108360</xdr:rowOff>
    </xdr:to>
    <xdr:sp macro="" textlink="">
      <xdr:nvSpPr>
        <xdr:cNvPr id="5" name="Rectangle: Rounded Corners 4">
          <a:extLst>
            <a:ext uri="{FF2B5EF4-FFF2-40B4-BE49-F238E27FC236}">
              <a16:creationId xmlns:a16="http://schemas.microsoft.com/office/drawing/2014/main" id="{99746355-35C5-0127-9EE9-7B9C8998F27E}"/>
            </a:ext>
          </a:extLst>
        </xdr:cNvPr>
        <xdr:cNvSpPr/>
      </xdr:nvSpPr>
      <xdr:spPr>
        <a:xfrm>
          <a:off x="2247900" y="3825240"/>
          <a:ext cx="2468880" cy="2348640"/>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556260</xdr:colOff>
      <xdr:row>20</xdr:row>
      <xdr:rowOff>145800</xdr:rowOff>
    </xdr:from>
    <xdr:to>
      <xdr:col>11</xdr:col>
      <xdr:colOff>565860</xdr:colOff>
      <xdr:row>33</xdr:row>
      <xdr:rowOff>108360</xdr:rowOff>
    </xdr:to>
    <xdr:sp macro="" textlink="">
      <xdr:nvSpPr>
        <xdr:cNvPr id="7" name="Rectangle: Rounded Corners 6">
          <a:extLst>
            <a:ext uri="{FF2B5EF4-FFF2-40B4-BE49-F238E27FC236}">
              <a16:creationId xmlns:a16="http://schemas.microsoft.com/office/drawing/2014/main" id="{1BAB74D1-FB0E-F209-7DFD-4AAF0D30A7E3}"/>
            </a:ext>
          </a:extLst>
        </xdr:cNvPr>
        <xdr:cNvSpPr/>
      </xdr:nvSpPr>
      <xdr:spPr>
        <a:xfrm>
          <a:off x="4823460" y="3833880"/>
          <a:ext cx="2448000" cy="2340000"/>
        </a:xfrm>
        <a:prstGeom prst="roundRect">
          <a:avLst>
            <a:gd name="adj" fmla="val 3967"/>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7620</xdr:colOff>
      <xdr:row>7</xdr:row>
      <xdr:rowOff>106680</xdr:rowOff>
    </xdr:from>
    <xdr:to>
      <xdr:col>12</xdr:col>
      <xdr:colOff>93420</xdr:colOff>
      <xdr:row>20</xdr:row>
      <xdr:rowOff>38100</xdr:rowOff>
    </xdr:to>
    <xdr:sp macro="" textlink="">
      <xdr:nvSpPr>
        <xdr:cNvPr id="8" name="Rectangle: Rounded Corners 7">
          <a:extLst>
            <a:ext uri="{FF2B5EF4-FFF2-40B4-BE49-F238E27FC236}">
              <a16:creationId xmlns:a16="http://schemas.microsoft.com/office/drawing/2014/main" id="{D2B9FFF4-F182-8A13-47AD-EC840C0E7E47}"/>
            </a:ext>
          </a:extLst>
        </xdr:cNvPr>
        <xdr:cNvSpPr/>
      </xdr:nvSpPr>
      <xdr:spPr>
        <a:xfrm>
          <a:off x="4884420" y="1417320"/>
          <a:ext cx="2524200" cy="2308860"/>
        </a:xfrm>
        <a:prstGeom prst="roundRect">
          <a:avLst>
            <a:gd name="adj" fmla="val 3967"/>
          </a:avLst>
        </a:prstGeom>
        <a:solidFill>
          <a:srgbClr val="282828"/>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487680</xdr:colOff>
      <xdr:row>7</xdr:row>
      <xdr:rowOff>115320</xdr:rowOff>
    </xdr:from>
    <xdr:to>
      <xdr:col>7</xdr:col>
      <xdr:colOff>449580</xdr:colOff>
      <xdr:row>13</xdr:row>
      <xdr:rowOff>15240</xdr:rowOff>
    </xdr:to>
    <xdr:sp macro="" textlink="">
      <xdr:nvSpPr>
        <xdr:cNvPr id="13" name="Rectangle: Rounded Corners 12">
          <a:extLst>
            <a:ext uri="{FF2B5EF4-FFF2-40B4-BE49-F238E27FC236}">
              <a16:creationId xmlns:a16="http://schemas.microsoft.com/office/drawing/2014/main" id="{4DA9D22D-A29D-DB29-E279-2E54477C67B7}"/>
            </a:ext>
          </a:extLst>
        </xdr:cNvPr>
        <xdr:cNvSpPr/>
      </xdr:nvSpPr>
      <xdr:spPr>
        <a:xfrm>
          <a:off x="2316480" y="1425960"/>
          <a:ext cx="2400300" cy="997200"/>
        </a:xfrm>
        <a:prstGeom prst="roundRect">
          <a:avLst>
            <a:gd name="adj" fmla="val 8551"/>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a:solidFill>
              <a:schemeClr val="lt1"/>
            </a:solidFill>
            <a:latin typeface="Kulim park"/>
            <a:ea typeface="+mn-ea"/>
            <a:cs typeface="+mn-cs"/>
          </a:endParaRPr>
        </a:p>
      </xdr:txBody>
    </xdr:sp>
    <xdr:clientData/>
  </xdr:twoCellAnchor>
  <xdr:twoCellAnchor>
    <xdr:from>
      <xdr:col>3</xdr:col>
      <xdr:colOff>449580</xdr:colOff>
      <xdr:row>13</xdr:row>
      <xdr:rowOff>168660</xdr:rowOff>
    </xdr:from>
    <xdr:to>
      <xdr:col>5</xdr:col>
      <xdr:colOff>400380</xdr:colOff>
      <xdr:row>20</xdr:row>
      <xdr:rowOff>15240</xdr:rowOff>
    </xdr:to>
    <xdr:sp macro="" textlink="">
      <xdr:nvSpPr>
        <xdr:cNvPr id="22" name="Rectangle: Rounded Corners 21">
          <a:extLst>
            <a:ext uri="{FF2B5EF4-FFF2-40B4-BE49-F238E27FC236}">
              <a16:creationId xmlns:a16="http://schemas.microsoft.com/office/drawing/2014/main" id="{7206955A-6B4D-8BFB-5DA4-17B3DEC55E31}"/>
            </a:ext>
          </a:extLst>
        </xdr:cNvPr>
        <xdr:cNvSpPr/>
      </xdr:nvSpPr>
      <xdr:spPr>
        <a:xfrm>
          <a:off x="2278380" y="2576580"/>
          <a:ext cx="1170000" cy="1126740"/>
        </a:xfrm>
        <a:prstGeom prst="roundRect">
          <a:avLst>
            <a:gd name="adj" fmla="val 7495"/>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495300</xdr:colOff>
      <xdr:row>13</xdr:row>
      <xdr:rowOff>168660</xdr:rowOff>
    </xdr:from>
    <xdr:to>
      <xdr:col>7</xdr:col>
      <xdr:colOff>446100</xdr:colOff>
      <xdr:row>20</xdr:row>
      <xdr:rowOff>15240</xdr:rowOff>
    </xdr:to>
    <xdr:sp macro="" textlink="">
      <xdr:nvSpPr>
        <xdr:cNvPr id="25" name="Rectangle: Rounded Corners 24">
          <a:extLst>
            <a:ext uri="{FF2B5EF4-FFF2-40B4-BE49-F238E27FC236}">
              <a16:creationId xmlns:a16="http://schemas.microsoft.com/office/drawing/2014/main" id="{BCFF5245-5519-78D4-28D0-6C8C92089308}"/>
            </a:ext>
          </a:extLst>
        </xdr:cNvPr>
        <xdr:cNvSpPr/>
      </xdr:nvSpPr>
      <xdr:spPr>
        <a:xfrm>
          <a:off x="3543300" y="2576580"/>
          <a:ext cx="1170000" cy="1126740"/>
        </a:xfrm>
        <a:prstGeom prst="roundRect">
          <a:avLst>
            <a:gd name="adj" fmla="val 7495"/>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30480</xdr:colOff>
      <xdr:row>27</xdr:row>
      <xdr:rowOff>142061</xdr:rowOff>
    </xdr:from>
    <xdr:to>
      <xdr:col>14</xdr:col>
      <xdr:colOff>228469</xdr:colOff>
      <xdr:row>33</xdr:row>
      <xdr:rowOff>108360</xdr:rowOff>
    </xdr:to>
    <xdr:sp macro="" textlink="">
      <xdr:nvSpPr>
        <xdr:cNvPr id="26" name="Rectangle: Rounded Corners 25">
          <a:extLst>
            <a:ext uri="{FF2B5EF4-FFF2-40B4-BE49-F238E27FC236}">
              <a16:creationId xmlns:a16="http://schemas.microsoft.com/office/drawing/2014/main" id="{8DA3F32E-E13A-D24C-3435-4C2816CCB339}"/>
            </a:ext>
          </a:extLst>
        </xdr:cNvPr>
        <xdr:cNvSpPr/>
      </xdr:nvSpPr>
      <xdr:spPr>
        <a:xfrm>
          <a:off x="7345680" y="5110301"/>
          <a:ext cx="1417189" cy="1063579"/>
        </a:xfrm>
        <a:prstGeom prst="roundRect">
          <a:avLst>
            <a:gd name="adj" fmla="val 7549"/>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350651</xdr:colOff>
      <xdr:row>27</xdr:row>
      <xdr:rowOff>142061</xdr:rowOff>
    </xdr:from>
    <xdr:to>
      <xdr:col>16</xdr:col>
      <xdr:colOff>548640</xdr:colOff>
      <xdr:row>33</xdr:row>
      <xdr:rowOff>108360</xdr:rowOff>
    </xdr:to>
    <xdr:sp macro="" textlink="">
      <xdr:nvSpPr>
        <xdr:cNvPr id="28" name="Rectangle: Rounded Corners 27">
          <a:extLst>
            <a:ext uri="{FF2B5EF4-FFF2-40B4-BE49-F238E27FC236}">
              <a16:creationId xmlns:a16="http://schemas.microsoft.com/office/drawing/2014/main" id="{EE86F02A-2F6B-0A63-209D-0C0801982CBF}"/>
            </a:ext>
          </a:extLst>
        </xdr:cNvPr>
        <xdr:cNvSpPr/>
      </xdr:nvSpPr>
      <xdr:spPr>
        <a:xfrm>
          <a:off x="8885051" y="5110301"/>
          <a:ext cx="1417189" cy="1063579"/>
        </a:xfrm>
        <a:prstGeom prst="roundRect">
          <a:avLst>
            <a:gd name="adj" fmla="val 7549"/>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350651</xdr:colOff>
      <xdr:row>21</xdr:row>
      <xdr:rowOff>76200</xdr:rowOff>
    </xdr:from>
    <xdr:to>
      <xdr:col>16</xdr:col>
      <xdr:colOff>548640</xdr:colOff>
      <xdr:row>27</xdr:row>
      <xdr:rowOff>42499</xdr:rowOff>
    </xdr:to>
    <xdr:sp macro="" textlink="">
      <xdr:nvSpPr>
        <xdr:cNvPr id="29" name="Rectangle: Rounded Corners 28">
          <a:extLst>
            <a:ext uri="{FF2B5EF4-FFF2-40B4-BE49-F238E27FC236}">
              <a16:creationId xmlns:a16="http://schemas.microsoft.com/office/drawing/2014/main" id="{5E906DCF-6FC2-8E69-595B-4F063928EBA2}"/>
            </a:ext>
          </a:extLst>
        </xdr:cNvPr>
        <xdr:cNvSpPr/>
      </xdr:nvSpPr>
      <xdr:spPr>
        <a:xfrm>
          <a:off x="8885051" y="3947160"/>
          <a:ext cx="1417189" cy="1063579"/>
        </a:xfrm>
        <a:prstGeom prst="roundRect">
          <a:avLst>
            <a:gd name="adj" fmla="val 6833"/>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190500</xdr:colOff>
      <xdr:row>10</xdr:row>
      <xdr:rowOff>58240</xdr:rowOff>
    </xdr:from>
    <xdr:to>
      <xdr:col>16</xdr:col>
      <xdr:colOff>510540</xdr:colOff>
      <xdr:row>19</xdr:row>
      <xdr:rowOff>15240</xdr:rowOff>
    </xdr:to>
    <xdr:sp macro="" textlink="">
      <xdr:nvSpPr>
        <xdr:cNvPr id="31" name="Rectangle: Rounded Corners 30">
          <a:extLst>
            <a:ext uri="{FF2B5EF4-FFF2-40B4-BE49-F238E27FC236}">
              <a16:creationId xmlns:a16="http://schemas.microsoft.com/office/drawing/2014/main" id="{D2152B73-39E5-F755-1258-E41DDB20846E}"/>
            </a:ext>
          </a:extLst>
        </xdr:cNvPr>
        <xdr:cNvSpPr/>
      </xdr:nvSpPr>
      <xdr:spPr>
        <a:xfrm>
          <a:off x="7505700" y="1917520"/>
          <a:ext cx="2758440" cy="1602920"/>
        </a:xfrm>
        <a:prstGeom prst="roundRect">
          <a:avLst>
            <a:gd name="adj" fmla="val 7549"/>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182880</xdr:colOff>
      <xdr:row>2</xdr:row>
      <xdr:rowOff>12520</xdr:rowOff>
    </xdr:from>
    <xdr:to>
      <xdr:col>16</xdr:col>
      <xdr:colOff>487681</xdr:colOff>
      <xdr:row>10</xdr:row>
      <xdr:rowOff>11080</xdr:rowOff>
    </xdr:to>
    <xdr:sp macro="" textlink="">
      <xdr:nvSpPr>
        <xdr:cNvPr id="33" name="Rectangle: Rounded Corners 32">
          <a:extLst>
            <a:ext uri="{FF2B5EF4-FFF2-40B4-BE49-F238E27FC236}">
              <a16:creationId xmlns:a16="http://schemas.microsoft.com/office/drawing/2014/main" id="{614B1F4D-5FF6-1F01-5965-0453FCB5680E}"/>
            </a:ext>
          </a:extLst>
        </xdr:cNvPr>
        <xdr:cNvSpPr/>
      </xdr:nvSpPr>
      <xdr:spPr>
        <a:xfrm>
          <a:off x="7498080" y="408760"/>
          <a:ext cx="2743201" cy="1461600"/>
        </a:xfrm>
        <a:prstGeom prst="roundRect">
          <a:avLst>
            <a:gd name="adj" fmla="val 7549"/>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14</xdr:col>
      <xdr:colOff>411480</xdr:colOff>
      <xdr:row>21</xdr:row>
      <xdr:rowOff>106680</xdr:rowOff>
    </xdr:from>
    <xdr:ext cx="815340" cy="678180"/>
    <xdr:sp macro="" textlink="">
      <xdr:nvSpPr>
        <xdr:cNvPr id="35" name="TextBox 34">
          <a:extLst>
            <a:ext uri="{FF2B5EF4-FFF2-40B4-BE49-F238E27FC236}">
              <a16:creationId xmlns:a16="http://schemas.microsoft.com/office/drawing/2014/main" id="{BC068F49-1BC6-828F-DB45-26E16095029A}"/>
            </a:ext>
          </a:extLst>
        </xdr:cNvPr>
        <xdr:cNvSpPr txBox="1"/>
      </xdr:nvSpPr>
      <xdr:spPr>
        <a:xfrm>
          <a:off x="8945880" y="3977640"/>
          <a:ext cx="815340" cy="678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bg1">
                  <a:lumMod val="95000"/>
                </a:schemeClr>
              </a:solidFill>
              <a:latin typeface="Kulim park"/>
            </a:rPr>
            <a:t>Part </a:t>
          </a:r>
        </a:p>
        <a:p>
          <a:r>
            <a:rPr lang="en-IN" sz="1100">
              <a:solidFill>
                <a:schemeClr val="bg1">
                  <a:lumMod val="95000"/>
                </a:schemeClr>
              </a:solidFill>
              <a:latin typeface="Kulim park"/>
            </a:rPr>
            <a:t>Time</a:t>
          </a:r>
        </a:p>
        <a:p>
          <a:r>
            <a:rPr lang="en-IN" sz="1100">
              <a:solidFill>
                <a:schemeClr val="bg1">
                  <a:lumMod val="95000"/>
                </a:schemeClr>
              </a:solidFill>
              <a:latin typeface="Kulim park"/>
            </a:rPr>
            <a:t>Employees</a:t>
          </a:r>
        </a:p>
      </xdr:txBody>
    </xdr:sp>
    <xdr:clientData/>
  </xdr:oneCellAnchor>
  <xdr:oneCellAnchor>
    <xdr:from>
      <xdr:col>15</xdr:col>
      <xdr:colOff>373380</xdr:colOff>
      <xdr:row>24</xdr:row>
      <xdr:rowOff>45720</xdr:rowOff>
    </xdr:from>
    <xdr:ext cx="762000" cy="548640"/>
    <xdr:sp macro="" textlink="">
      <xdr:nvSpPr>
        <xdr:cNvPr id="36" name="TextBox 35">
          <a:extLst>
            <a:ext uri="{FF2B5EF4-FFF2-40B4-BE49-F238E27FC236}">
              <a16:creationId xmlns:a16="http://schemas.microsoft.com/office/drawing/2014/main" id="{7DE7D726-660E-860F-B800-44589C4495BF}"/>
            </a:ext>
          </a:extLst>
        </xdr:cNvPr>
        <xdr:cNvSpPr txBox="1"/>
      </xdr:nvSpPr>
      <xdr:spPr>
        <a:xfrm>
          <a:off x="9517380" y="4465320"/>
          <a:ext cx="76200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200" b="1">
              <a:solidFill>
                <a:schemeClr val="bg1">
                  <a:lumMod val="95000"/>
                </a:schemeClr>
              </a:solidFill>
              <a:latin typeface="Kulim park"/>
            </a:rPr>
            <a:t>13</a:t>
          </a:r>
        </a:p>
      </xdr:txBody>
    </xdr:sp>
    <xdr:clientData/>
  </xdr:oneCellAnchor>
  <xdr:oneCellAnchor>
    <xdr:from>
      <xdr:col>14</xdr:col>
      <xdr:colOff>411480</xdr:colOff>
      <xdr:row>28</xdr:row>
      <xdr:rowOff>0</xdr:rowOff>
    </xdr:from>
    <xdr:ext cx="815340" cy="678180"/>
    <xdr:sp macro="" textlink="">
      <xdr:nvSpPr>
        <xdr:cNvPr id="39" name="TextBox 38">
          <a:extLst>
            <a:ext uri="{FF2B5EF4-FFF2-40B4-BE49-F238E27FC236}">
              <a16:creationId xmlns:a16="http://schemas.microsoft.com/office/drawing/2014/main" id="{EAD3B465-C8E1-69F2-DC8E-1E6BC7AEAD5D}"/>
            </a:ext>
          </a:extLst>
        </xdr:cNvPr>
        <xdr:cNvSpPr txBox="1"/>
      </xdr:nvSpPr>
      <xdr:spPr>
        <a:xfrm>
          <a:off x="8945880" y="5151120"/>
          <a:ext cx="815340" cy="678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bg1">
                  <a:lumMod val="95000"/>
                </a:schemeClr>
              </a:solidFill>
              <a:latin typeface="Kulim park"/>
            </a:rPr>
            <a:t>Full </a:t>
          </a:r>
        </a:p>
        <a:p>
          <a:r>
            <a:rPr lang="en-IN" sz="1100">
              <a:solidFill>
                <a:schemeClr val="bg1">
                  <a:lumMod val="95000"/>
                </a:schemeClr>
              </a:solidFill>
              <a:latin typeface="Kulim park"/>
            </a:rPr>
            <a:t>Time</a:t>
          </a:r>
        </a:p>
        <a:p>
          <a:r>
            <a:rPr lang="en-IN" sz="1100">
              <a:solidFill>
                <a:schemeClr val="bg1">
                  <a:lumMod val="95000"/>
                </a:schemeClr>
              </a:solidFill>
              <a:latin typeface="Kulim park"/>
            </a:rPr>
            <a:t>Employees</a:t>
          </a:r>
        </a:p>
      </xdr:txBody>
    </xdr:sp>
    <xdr:clientData/>
  </xdr:oneCellAnchor>
  <xdr:oneCellAnchor>
    <xdr:from>
      <xdr:col>15</xdr:col>
      <xdr:colOff>373380</xdr:colOff>
      <xdr:row>30</xdr:row>
      <xdr:rowOff>121920</xdr:rowOff>
    </xdr:from>
    <xdr:ext cx="762000" cy="548640"/>
    <xdr:sp macro="" textlink="">
      <xdr:nvSpPr>
        <xdr:cNvPr id="40" name="TextBox 39">
          <a:extLst>
            <a:ext uri="{FF2B5EF4-FFF2-40B4-BE49-F238E27FC236}">
              <a16:creationId xmlns:a16="http://schemas.microsoft.com/office/drawing/2014/main" id="{653262D2-B623-70CB-38AA-47707FE7D211}"/>
            </a:ext>
          </a:extLst>
        </xdr:cNvPr>
        <xdr:cNvSpPr txBox="1"/>
      </xdr:nvSpPr>
      <xdr:spPr>
        <a:xfrm>
          <a:off x="9517380" y="5638800"/>
          <a:ext cx="76200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200" b="1">
              <a:solidFill>
                <a:schemeClr val="bg1">
                  <a:lumMod val="95000"/>
                </a:schemeClr>
              </a:solidFill>
              <a:latin typeface="Kulim park"/>
            </a:rPr>
            <a:t>20</a:t>
          </a:r>
        </a:p>
      </xdr:txBody>
    </xdr:sp>
    <xdr:clientData/>
  </xdr:oneCellAnchor>
  <xdr:oneCellAnchor>
    <xdr:from>
      <xdr:col>12</xdr:col>
      <xdr:colOff>76200</xdr:colOff>
      <xdr:row>28</xdr:row>
      <xdr:rowOff>0</xdr:rowOff>
    </xdr:from>
    <xdr:ext cx="815340" cy="678180"/>
    <xdr:sp macro="" textlink="">
      <xdr:nvSpPr>
        <xdr:cNvPr id="41" name="TextBox 40">
          <a:extLst>
            <a:ext uri="{FF2B5EF4-FFF2-40B4-BE49-F238E27FC236}">
              <a16:creationId xmlns:a16="http://schemas.microsoft.com/office/drawing/2014/main" id="{815A3999-5FC8-63EF-1D0F-6DA284BC7122}"/>
            </a:ext>
          </a:extLst>
        </xdr:cNvPr>
        <xdr:cNvSpPr txBox="1"/>
      </xdr:nvSpPr>
      <xdr:spPr>
        <a:xfrm>
          <a:off x="7391400" y="5151120"/>
          <a:ext cx="815340" cy="678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bg1">
                  <a:lumMod val="95000"/>
                </a:schemeClr>
              </a:solidFill>
              <a:latin typeface="Kulim park"/>
            </a:rPr>
            <a:t>Employees</a:t>
          </a:r>
        </a:p>
        <a:p>
          <a:r>
            <a:rPr lang="en-IN" sz="1100">
              <a:solidFill>
                <a:schemeClr val="bg1">
                  <a:lumMod val="95000"/>
                </a:schemeClr>
              </a:solidFill>
              <a:latin typeface="Kulim park"/>
            </a:rPr>
            <a:t>With</a:t>
          </a:r>
        </a:p>
        <a:p>
          <a:r>
            <a:rPr lang="en-IN" sz="1100">
              <a:solidFill>
                <a:schemeClr val="bg1">
                  <a:lumMod val="95000"/>
                </a:schemeClr>
              </a:solidFill>
              <a:latin typeface="Kulim park"/>
            </a:rPr>
            <a:t>Contract</a:t>
          </a:r>
        </a:p>
      </xdr:txBody>
    </xdr:sp>
    <xdr:clientData/>
  </xdr:oneCellAnchor>
  <xdr:oneCellAnchor>
    <xdr:from>
      <xdr:col>13</xdr:col>
      <xdr:colOff>38100</xdr:colOff>
      <xdr:row>30</xdr:row>
      <xdr:rowOff>121920</xdr:rowOff>
    </xdr:from>
    <xdr:ext cx="762000" cy="548640"/>
    <xdr:sp macro="" textlink="">
      <xdr:nvSpPr>
        <xdr:cNvPr id="42" name="TextBox 41">
          <a:extLst>
            <a:ext uri="{FF2B5EF4-FFF2-40B4-BE49-F238E27FC236}">
              <a16:creationId xmlns:a16="http://schemas.microsoft.com/office/drawing/2014/main" id="{8A6950E0-EDBA-3939-1EB9-8838A536631E}"/>
            </a:ext>
          </a:extLst>
        </xdr:cNvPr>
        <xdr:cNvSpPr txBox="1"/>
      </xdr:nvSpPr>
      <xdr:spPr>
        <a:xfrm>
          <a:off x="7962900" y="5638800"/>
          <a:ext cx="76200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200" b="1">
              <a:solidFill>
                <a:schemeClr val="bg1">
                  <a:lumMod val="95000"/>
                </a:schemeClr>
              </a:solidFill>
              <a:latin typeface="Kulim park"/>
            </a:rPr>
            <a:t>17</a:t>
          </a:r>
        </a:p>
      </xdr:txBody>
    </xdr:sp>
    <xdr:clientData/>
  </xdr:oneCellAnchor>
  <xdr:twoCellAnchor>
    <xdr:from>
      <xdr:col>8</xdr:col>
      <xdr:colOff>6108</xdr:colOff>
      <xdr:row>23</xdr:row>
      <xdr:rowOff>68580</xdr:rowOff>
    </xdr:from>
    <xdr:to>
      <xdr:col>10</xdr:col>
      <xdr:colOff>53340</xdr:colOff>
      <xdr:row>33</xdr:row>
      <xdr:rowOff>160020</xdr:rowOff>
    </xdr:to>
    <xdr:grpSp>
      <xdr:nvGrpSpPr>
        <xdr:cNvPr id="179" name="Group 178">
          <a:extLst>
            <a:ext uri="{FF2B5EF4-FFF2-40B4-BE49-F238E27FC236}">
              <a16:creationId xmlns:a16="http://schemas.microsoft.com/office/drawing/2014/main" id="{95CAA91F-FE23-CE0E-92D0-5B2E2201928F}"/>
            </a:ext>
          </a:extLst>
        </xdr:cNvPr>
        <xdr:cNvGrpSpPr/>
      </xdr:nvGrpSpPr>
      <xdr:grpSpPr>
        <a:xfrm>
          <a:off x="4882908" y="4305300"/>
          <a:ext cx="1266432" cy="1920240"/>
          <a:chOff x="4907280" y="4457696"/>
          <a:chExt cx="1104900" cy="1645924"/>
        </a:xfrm>
      </xdr:grpSpPr>
      <xdr:sp macro="" textlink="">
        <xdr:nvSpPr>
          <xdr:cNvPr id="44" name="TextBox 43">
            <a:extLst>
              <a:ext uri="{FF2B5EF4-FFF2-40B4-BE49-F238E27FC236}">
                <a16:creationId xmlns:a16="http://schemas.microsoft.com/office/drawing/2014/main" id="{5AF7CA95-03C4-DD50-76E0-1169683E05DB}"/>
              </a:ext>
            </a:extLst>
          </xdr:cNvPr>
          <xdr:cNvSpPr txBox="1"/>
        </xdr:nvSpPr>
        <xdr:spPr>
          <a:xfrm>
            <a:off x="4907280" y="4457696"/>
            <a:ext cx="1104900" cy="316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bg1">
                    <a:lumMod val="95000"/>
                  </a:schemeClr>
                </a:solidFill>
                <a:latin typeface="Kulim park"/>
              </a:rPr>
              <a:t>Total</a:t>
            </a:r>
            <a:r>
              <a:rPr lang="en-IN" sz="1100" baseline="0">
                <a:solidFill>
                  <a:schemeClr val="bg1">
                    <a:lumMod val="95000"/>
                  </a:schemeClr>
                </a:solidFill>
                <a:latin typeface="Kulim park"/>
              </a:rPr>
              <a:t> Salaries</a:t>
            </a:r>
            <a:endParaRPr lang="en-IN" sz="1100">
              <a:solidFill>
                <a:schemeClr val="bg1">
                  <a:lumMod val="95000"/>
                </a:schemeClr>
              </a:solidFill>
              <a:latin typeface="Kulim park"/>
            </a:endParaRPr>
          </a:p>
        </xdr:txBody>
      </xdr:sp>
      <xdr:sp macro="" textlink="">
        <xdr:nvSpPr>
          <xdr:cNvPr id="46" name="TextBox 45">
            <a:extLst>
              <a:ext uri="{FF2B5EF4-FFF2-40B4-BE49-F238E27FC236}">
                <a16:creationId xmlns:a16="http://schemas.microsoft.com/office/drawing/2014/main" id="{7C01AC8B-D474-B66F-6CD9-93A74AF87508}"/>
              </a:ext>
            </a:extLst>
          </xdr:cNvPr>
          <xdr:cNvSpPr txBox="1"/>
        </xdr:nvSpPr>
        <xdr:spPr>
          <a:xfrm>
            <a:off x="4907280" y="4723575"/>
            <a:ext cx="1104900" cy="316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0" i="0" u="none" strike="noStrike">
                <a:solidFill>
                  <a:schemeClr val="bg1">
                    <a:lumMod val="95000"/>
                  </a:schemeClr>
                </a:solidFill>
                <a:effectLst/>
                <a:latin typeface="+mn-lt"/>
                <a:ea typeface="+mn-ea"/>
                <a:cs typeface="+mn-cs"/>
              </a:rPr>
              <a:t>Manager</a:t>
            </a:r>
            <a:r>
              <a:rPr lang="en-IN">
                <a:effectLst/>
              </a:rPr>
              <a:t> </a:t>
            </a:r>
            <a:endParaRPr lang="en-IN" sz="1100">
              <a:solidFill>
                <a:schemeClr val="bg1">
                  <a:lumMod val="95000"/>
                </a:schemeClr>
              </a:solidFill>
              <a:latin typeface="Kulim park"/>
            </a:endParaRPr>
          </a:p>
        </xdr:txBody>
      </xdr:sp>
      <xdr:sp macro="" textlink="">
        <xdr:nvSpPr>
          <xdr:cNvPr id="53" name="TextBox 52">
            <a:extLst>
              <a:ext uri="{FF2B5EF4-FFF2-40B4-BE49-F238E27FC236}">
                <a16:creationId xmlns:a16="http://schemas.microsoft.com/office/drawing/2014/main" id="{7AD1EDA6-0A76-050B-52BF-4B2C33BFC4CD}"/>
              </a:ext>
            </a:extLst>
          </xdr:cNvPr>
          <xdr:cNvSpPr txBox="1"/>
        </xdr:nvSpPr>
        <xdr:spPr>
          <a:xfrm>
            <a:off x="4907280" y="4989456"/>
            <a:ext cx="1104900" cy="316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0" i="0" u="none" strike="noStrike">
                <a:solidFill>
                  <a:schemeClr val="bg1">
                    <a:lumMod val="95000"/>
                  </a:schemeClr>
                </a:solidFill>
                <a:effectLst/>
                <a:latin typeface="+mn-lt"/>
                <a:ea typeface="+mn-ea"/>
                <a:cs typeface="+mn-cs"/>
              </a:rPr>
              <a:t>HR Specialist</a:t>
            </a:r>
            <a:r>
              <a:rPr lang="en-IN">
                <a:solidFill>
                  <a:schemeClr val="bg1">
                    <a:lumMod val="95000"/>
                  </a:schemeClr>
                </a:solidFill>
                <a:effectLst/>
              </a:rPr>
              <a:t> </a:t>
            </a:r>
            <a:endParaRPr lang="en-IN" sz="1100">
              <a:solidFill>
                <a:schemeClr val="bg1">
                  <a:lumMod val="95000"/>
                </a:schemeClr>
              </a:solidFill>
              <a:latin typeface="Kulim park"/>
            </a:endParaRPr>
          </a:p>
        </xdr:txBody>
      </xdr:sp>
      <xdr:sp macro="" textlink="">
        <xdr:nvSpPr>
          <xdr:cNvPr id="54" name="TextBox 53">
            <a:extLst>
              <a:ext uri="{FF2B5EF4-FFF2-40B4-BE49-F238E27FC236}">
                <a16:creationId xmlns:a16="http://schemas.microsoft.com/office/drawing/2014/main" id="{AD2D1E4D-8835-DEE5-9B1B-BCE787EB5B96}"/>
              </a:ext>
            </a:extLst>
          </xdr:cNvPr>
          <xdr:cNvSpPr txBox="1"/>
        </xdr:nvSpPr>
        <xdr:spPr>
          <a:xfrm>
            <a:off x="4907280" y="5255334"/>
            <a:ext cx="1104900" cy="316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0" i="0" u="none" strike="noStrike">
                <a:solidFill>
                  <a:schemeClr val="bg1">
                    <a:lumMod val="95000"/>
                  </a:schemeClr>
                </a:solidFill>
                <a:effectLst/>
                <a:latin typeface="+mn-lt"/>
                <a:ea typeface="+mn-ea"/>
                <a:cs typeface="+mn-cs"/>
              </a:rPr>
              <a:t>Developer</a:t>
            </a:r>
            <a:r>
              <a:rPr lang="en-IN">
                <a:effectLst/>
              </a:rPr>
              <a:t> </a:t>
            </a:r>
            <a:endParaRPr lang="en-IN" sz="1100">
              <a:solidFill>
                <a:schemeClr val="bg1">
                  <a:lumMod val="95000"/>
                </a:schemeClr>
              </a:solidFill>
              <a:latin typeface="Kulim park"/>
            </a:endParaRPr>
          </a:p>
        </xdr:txBody>
      </xdr:sp>
      <xdr:sp macro="" textlink="">
        <xdr:nvSpPr>
          <xdr:cNvPr id="55" name="TextBox 54">
            <a:extLst>
              <a:ext uri="{FF2B5EF4-FFF2-40B4-BE49-F238E27FC236}">
                <a16:creationId xmlns:a16="http://schemas.microsoft.com/office/drawing/2014/main" id="{F36BCB2A-1CCD-0C5C-8474-2348AF4C71E9}"/>
              </a:ext>
            </a:extLst>
          </xdr:cNvPr>
          <xdr:cNvSpPr txBox="1"/>
        </xdr:nvSpPr>
        <xdr:spPr>
          <a:xfrm>
            <a:off x="4907280" y="5521217"/>
            <a:ext cx="1104900" cy="316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0" i="0" u="none" strike="noStrike">
                <a:solidFill>
                  <a:schemeClr val="bg1">
                    <a:lumMod val="95000"/>
                  </a:schemeClr>
                </a:solidFill>
                <a:effectLst/>
                <a:latin typeface="+mn-lt"/>
                <a:ea typeface="+mn-ea"/>
                <a:cs typeface="+mn-cs"/>
              </a:rPr>
              <a:t>Designer</a:t>
            </a:r>
            <a:r>
              <a:rPr lang="en-IN">
                <a:effectLst/>
              </a:rPr>
              <a:t> </a:t>
            </a:r>
            <a:endParaRPr lang="en-IN" sz="1100">
              <a:solidFill>
                <a:schemeClr val="bg1">
                  <a:lumMod val="95000"/>
                </a:schemeClr>
              </a:solidFill>
              <a:latin typeface="Kulim park"/>
            </a:endParaRPr>
          </a:p>
        </xdr:txBody>
      </xdr:sp>
      <xdr:sp macro="" textlink="">
        <xdr:nvSpPr>
          <xdr:cNvPr id="56" name="TextBox 55">
            <a:extLst>
              <a:ext uri="{FF2B5EF4-FFF2-40B4-BE49-F238E27FC236}">
                <a16:creationId xmlns:a16="http://schemas.microsoft.com/office/drawing/2014/main" id="{D0CC12B0-22CE-89F3-12E4-EA926B305F5C}"/>
              </a:ext>
            </a:extLst>
          </xdr:cNvPr>
          <xdr:cNvSpPr txBox="1"/>
        </xdr:nvSpPr>
        <xdr:spPr>
          <a:xfrm>
            <a:off x="4907280" y="5787097"/>
            <a:ext cx="1104900" cy="316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0" i="0" u="none" strike="noStrike">
                <a:solidFill>
                  <a:schemeClr val="bg1">
                    <a:lumMod val="95000"/>
                  </a:schemeClr>
                </a:solidFill>
                <a:effectLst/>
                <a:latin typeface="+mn-lt"/>
                <a:ea typeface="+mn-ea"/>
                <a:cs typeface="+mn-cs"/>
              </a:rPr>
              <a:t>Analyst</a:t>
            </a:r>
            <a:r>
              <a:rPr lang="en-IN">
                <a:effectLst/>
              </a:rPr>
              <a:t> </a:t>
            </a:r>
            <a:endParaRPr lang="en-IN" sz="1100">
              <a:solidFill>
                <a:schemeClr val="bg1">
                  <a:lumMod val="95000"/>
                </a:schemeClr>
              </a:solidFill>
              <a:latin typeface="Kulim park"/>
            </a:endParaRPr>
          </a:p>
        </xdr:txBody>
      </xdr:sp>
    </xdr:grpSp>
    <xdr:clientData/>
  </xdr:twoCellAnchor>
  <xdr:twoCellAnchor>
    <xdr:from>
      <xdr:col>8</xdr:col>
      <xdr:colOff>220980</xdr:colOff>
      <xdr:row>16</xdr:row>
      <xdr:rowOff>160020</xdr:rowOff>
    </xdr:from>
    <xdr:to>
      <xdr:col>9</xdr:col>
      <xdr:colOff>411480</xdr:colOff>
      <xdr:row>18</xdr:row>
      <xdr:rowOff>152400</xdr:rowOff>
    </xdr:to>
    <xdr:sp macro="" textlink="">
      <xdr:nvSpPr>
        <xdr:cNvPr id="160" name="Rectangle: Rounded Corners 159">
          <a:extLst>
            <a:ext uri="{FF2B5EF4-FFF2-40B4-BE49-F238E27FC236}">
              <a16:creationId xmlns:a16="http://schemas.microsoft.com/office/drawing/2014/main" id="{C7F9FDE3-6461-4C25-9AC7-1A39DDD84162}"/>
            </a:ext>
          </a:extLst>
        </xdr:cNvPr>
        <xdr:cNvSpPr/>
      </xdr:nvSpPr>
      <xdr:spPr>
        <a:xfrm>
          <a:off x="5097780" y="3116580"/>
          <a:ext cx="800100" cy="358140"/>
        </a:xfrm>
        <a:prstGeom prst="roundRect">
          <a:avLst>
            <a:gd name="adj" fmla="val 4690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95000"/>
                </a:schemeClr>
              </a:solidFill>
            </a:rPr>
            <a:t>Analyst</a:t>
          </a:r>
        </a:p>
      </xdr:txBody>
    </xdr:sp>
    <xdr:clientData/>
  </xdr:twoCellAnchor>
  <xdr:twoCellAnchor>
    <xdr:from>
      <xdr:col>10</xdr:col>
      <xdr:colOff>7620</xdr:colOff>
      <xdr:row>23</xdr:row>
      <xdr:rowOff>99060</xdr:rowOff>
    </xdr:from>
    <xdr:to>
      <xdr:col>11</xdr:col>
      <xdr:colOff>478020</xdr:colOff>
      <xdr:row>24</xdr:row>
      <xdr:rowOff>168180</xdr:rowOff>
    </xdr:to>
    <xdr:sp macro="" textlink="'Pivot Table'!E19">
      <xdr:nvSpPr>
        <xdr:cNvPr id="173" name="Rectangle: Rounded Corners 172">
          <a:extLst>
            <a:ext uri="{FF2B5EF4-FFF2-40B4-BE49-F238E27FC236}">
              <a16:creationId xmlns:a16="http://schemas.microsoft.com/office/drawing/2014/main" id="{E50C5B25-0F10-8C5C-F618-53CD79F6EA60}"/>
            </a:ext>
          </a:extLst>
        </xdr:cNvPr>
        <xdr:cNvSpPr/>
      </xdr:nvSpPr>
      <xdr:spPr>
        <a:xfrm>
          <a:off x="6103620" y="4335780"/>
          <a:ext cx="1080000" cy="252000"/>
        </a:xfrm>
        <a:prstGeom prst="roundRect">
          <a:avLst>
            <a:gd name="adj" fmla="val 31786"/>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B5956A-1B2D-4375-9376-C60C92EC3BCA}" type="TxLink">
            <a:rPr lang="en-US" sz="1100" b="1" i="0" u="none" strike="noStrike">
              <a:solidFill>
                <a:srgbClr val="000000"/>
              </a:solidFill>
              <a:latin typeface="Kulim Park"/>
            </a:rPr>
            <a:pPr algn="ctr"/>
            <a:t> 31,04,913 </a:t>
          </a:fld>
          <a:endParaRPr lang="en-IN" sz="1100"/>
        </a:p>
      </xdr:txBody>
    </xdr:sp>
    <xdr:clientData/>
  </xdr:twoCellAnchor>
  <xdr:twoCellAnchor>
    <xdr:from>
      <xdr:col>10</xdr:col>
      <xdr:colOff>7620</xdr:colOff>
      <xdr:row>25</xdr:row>
      <xdr:rowOff>36154</xdr:rowOff>
    </xdr:from>
    <xdr:to>
      <xdr:col>11</xdr:col>
      <xdr:colOff>478020</xdr:colOff>
      <xdr:row>26</xdr:row>
      <xdr:rowOff>105274</xdr:rowOff>
    </xdr:to>
    <xdr:sp macro="" textlink="'Pivot Table'!E18">
      <xdr:nvSpPr>
        <xdr:cNvPr id="186" name="Rectangle: Rounded Corners 185">
          <a:extLst>
            <a:ext uri="{FF2B5EF4-FFF2-40B4-BE49-F238E27FC236}">
              <a16:creationId xmlns:a16="http://schemas.microsoft.com/office/drawing/2014/main" id="{72588534-40F6-46D5-B425-D18FBE7EC694}"/>
            </a:ext>
          </a:extLst>
        </xdr:cNvPr>
        <xdr:cNvSpPr/>
      </xdr:nvSpPr>
      <xdr:spPr>
        <a:xfrm>
          <a:off x="6103620" y="4638634"/>
          <a:ext cx="1080000" cy="252000"/>
        </a:xfrm>
        <a:prstGeom prst="roundRect">
          <a:avLst>
            <a:gd name="adj" fmla="val 3178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EBE2F66-7987-4AC5-A6AD-9506B60B616E}" type="TxLink">
            <a:rPr lang="en-US" sz="1100" b="0" i="0" u="none" strike="noStrike">
              <a:solidFill>
                <a:srgbClr val="000000"/>
              </a:solidFill>
              <a:latin typeface="Kulim Park"/>
            </a:rPr>
            <a:pPr algn="l"/>
            <a:t> 7,31,170 </a:t>
          </a:fld>
          <a:endParaRPr lang="en-IN" sz="1100"/>
        </a:p>
      </xdr:txBody>
    </xdr:sp>
    <xdr:clientData/>
  </xdr:twoCellAnchor>
  <xdr:twoCellAnchor>
    <xdr:from>
      <xdr:col>10</xdr:col>
      <xdr:colOff>7620</xdr:colOff>
      <xdr:row>28</xdr:row>
      <xdr:rowOff>93222</xdr:rowOff>
    </xdr:from>
    <xdr:to>
      <xdr:col>11</xdr:col>
      <xdr:colOff>478020</xdr:colOff>
      <xdr:row>29</xdr:row>
      <xdr:rowOff>162342</xdr:rowOff>
    </xdr:to>
    <xdr:sp macro="" textlink="'Pivot Table'!E16">
      <xdr:nvSpPr>
        <xdr:cNvPr id="193" name="Rectangle: Rounded Corners 192">
          <a:extLst>
            <a:ext uri="{FF2B5EF4-FFF2-40B4-BE49-F238E27FC236}">
              <a16:creationId xmlns:a16="http://schemas.microsoft.com/office/drawing/2014/main" id="{D5630691-0B98-F5F0-CE0D-98956863513D}"/>
            </a:ext>
          </a:extLst>
        </xdr:cNvPr>
        <xdr:cNvSpPr/>
      </xdr:nvSpPr>
      <xdr:spPr>
        <a:xfrm>
          <a:off x="6103620" y="5244342"/>
          <a:ext cx="1080000" cy="252000"/>
        </a:xfrm>
        <a:prstGeom prst="roundRect">
          <a:avLst>
            <a:gd name="adj" fmla="val 3178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5A5A07AA-207A-47EA-9D0B-1DF4518195FE}" type="TxLink">
            <a:rPr lang="en-US" sz="1100" b="0" i="0" u="none" strike="noStrike">
              <a:solidFill>
                <a:srgbClr val="000000"/>
              </a:solidFill>
              <a:latin typeface="Kulim Park"/>
            </a:rPr>
            <a:pPr algn="l"/>
            <a:t> 6,33,594 </a:t>
          </a:fld>
          <a:endParaRPr lang="en-US" sz="1100"/>
        </a:p>
      </xdr:txBody>
    </xdr:sp>
    <xdr:clientData/>
  </xdr:twoCellAnchor>
  <xdr:twoCellAnchor>
    <xdr:from>
      <xdr:col>10</xdr:col>
      <xdr:colOff>7620</xdr:colOff>
      <xdr:row>26</xdr:row>
      <xdr:rowOff>156128</xdr:rowOff>
    </xdr:from>
    <xdr:to>
      <xdr:col>11</xdr:col>
      <xdr:colOff>478020</xdr:colOff>
      <xdr:row>28</xdr:row>
      <xdr:rowOff>42368</xdr:rowOff>
    </xdr:to>
    <xdr:sp macro="" textlink="'Pivot Table'!E17">
      <xdr:nvSpPr>
        <xdr:cNvPr id="194" name="Rectangle: Rounded Corners 193">
          <a:extLst>
            <a:ext uri="{FF2B5EF4-FFF2-40B4-BE49-F238E27FC236}">
              <a16:creationId xmlns:a16="http://schemas.microsoft.com/office/drawing/2014/main" id="{58ACAEC0-D2B1-4535-3144-3A91272ED61D}"/>
            </a:ext>
          </a:extLst>
        </xdr:cNvPr>
        <xdr:cNvSpPr/>
      </xdr:nvSpPr>
      <xdr:spPr>
        <a:xfrm>
          <a:off x="6103620" y="4941488"/>
          <a:ext cx="1080000" cy="252000"/>
        </a:xfrm>
        <a:prstGeom prst="roundRect">
          <a:avLst>
            <a:gd name="adj" fmla="val 3178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2C78FD36-FF54-432F-A2A2-015F7E881DA1}" type="TxLink">
            <a:rPr lang="en-US" sz="1100" b="0" i="0" u="none" strike="noStrike">
              <a:solidFill>
                <a:srgbClr val="000000"/>
              </a:solidFill>
              <a:latin typeface="Kulim Park"/>
            </a:rPr>
            <a:pPr algn="l"/>
            <a:t> 9,59,266 </a:t>
          </a:fld>
          <a:endParaRPr lang="en-IN" sz="1100"/>
        </a:p>
      </xdr:txBody>
    </xdr:sp>
    <xdr:clientData/>
  </xdr:twoCellAnchor>
  <xdr:twoCellAnchor>
    <xdr:from>
      <xdr:col>10</xdr:col>
      <xdr:colOff>7620</xdr:colOff>
      <xdr:row>30</xdr:row>
      <xdr:rowOff>30316</xdr:rowOff>
    </xdr:from>
    <xdr:to>
      <xdr:col>11</xdr:col>
      <xdr:colOff>478020</xdr:colOff>
      <xdr:row>31</xdr:row>
      <xdr:rowOff>99436</xdr:rowOff>
    </xdr:to>
    <xdr:sp macro="" textlink="'Pivot Table'!E15">
      <xdr:nvSpPr>
        <xdr:cNvPr id="213" name="Rectangle: Rounded Corners 212">
          <a:extLst>
            <a:ext uri="{FF2B5EF4-FFF2-40B4-BE49-F238E27FC236}">
              <a16:creationId xmlns:a16="http://schemas.microsoft.com/office/drawing/2014/main" id="{DF039176-987A-A59E-30B2-B7671E5BAAEC}"/>
            </a:ext>
          </a:extLst>
        </xdr:cNvPr>
        <xdr:cNvSpPr/>
      </xdr:nvSpPr>
      <xdr:spPr>
        <a:xfrm>
          <a:off x="6103620" y="5547196"/>
          <a:ext cx="1080000" cy="252000"/>
        </a:xfrm>
        <a:prstGeom prst="roundRect">
          <a:avLst>
            <a:gd name="adj" fmla="val 3178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2E04B72-5548-4928-B6C1-B70655E35293}" type="TxLink">
            <a:rPr lang="en-US" sz="1100" b="0" i="0" u="none" strike="noStrike">
              <a:solidFill>
                <a:srgbClr val="000000"/>
              </a:solidFill>
              <a:latin typeface="Kulim Park"/>
            </a:rPr>
            <a:pPr algn="l"/>
            <a:t> 6,13,842 </a:t>
          </a:fld>
          <a:endParaRPr lang="en-IN" sz="1100"/>
        </a:p>
      </xdr:txBody>
    </xdr:sp>
    <xdr:clientData/>
  </xdr:twoCellAnchor>
  <xdr:twoCellAnchor>
    <xdr:from>
      <xdr:col>10</xdr:col>
      <xdr:colOff>30480</xdr:colOff>
      <xdr:row>25</xdr:row>
      <xdr:rowOff>36154</xdr:rowOff>
    </xdr:from>
    <xdr:to>
      <xdr:col>11</xdr:col>
      <xdr:colOff>500880</xdr:colOff>
      <xdr:row>26</xdr:row>
      <xdr:rowOff>105274</xdr:rowOff>
    </xdr:to>
    <xdr:sp macro="" textlink="'Pivot Table'!E18">
      <xdr:nvSpPr>
        <xdr:cNvPr id="215" name="Rectangle: Rounded Corners 214">
          <a:extLst>
            <a:ext uri="{FF2B5EF4-FFF2-40B4-BE49-F238E27FC236}">
              <a16:creationId xmlns:a16="http://schemas.microsoft.com/office/drawing/2014/main" id="{09721773-9714-0C90-1F73-3FD220E1CAEF}"/>
            </a:ext>
          </a:extLst>
        </xdr:cNvPr>
        <xdr:cNvSpPr/>
      </xdr:nvSpPr>
      <xdr:spPr>
        <a:xfrm>
          <a:off x="6126480" y="4638634"/>
          <a:ext cx="1080000" cy="252000"/>
        </a:xfrm>
        <a:prstGeom prst="roundRect">
          <a:avLst>
            <a:gd name="adj" fmla="val 3178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BE2F66-7987-4AC5-A6AD-9506B60B616E}" type="TxLink">
            <a:rPr lang="en-US" sz="1100" b="1" i="0" u="none" strike="noStrike">
              <a:solidFill>
                <a:schemeClr val="bg1">
                  <a:lumMod val="95000"/>
                </a:schemeClr>
              </a:solidFill>
              <a:latin typeface="Kulim Park"/>
            </a:rPr>
            <a:pPr algn="ctr"/>
            <a:t> 7,31,170 </a:t>
          </a:fld>
          <a:endParaRPr lang="en-IN" sz="1100" b="1">
            <a:solidFill>
              <a:schemeClr val="bg1">
                <a:lumMod val="95000"/>
              </a:schemeClr>
            </a:solidFill>
          </a:endParaRPr>
        </a:p>
      </xdr:txBody>
    </xdr:sp>
    <xdr:clientData/>
  </xdr:twoCellAnchor>
  <xdr:twoCellAnchor>
    <xdr:from>
      <xdr:col>10</xdr:col>
      <xdr:colOff>30480</xdr:colOff>
      <xdr:row>28</xdr:row>
      <xdr:rowOff>93222</xdr:rowOff>
    </xdr:from>
    <xdr:to>
      <xdr:col>11</xdr:col>
      <xdr:colOff>500880</xdr:colOff>
      <xdr:row>29</xdr:row>
      <xdr:rowOff>162342</xdr:rowOff>
    </xdr:to>
    <xdr:sp macro="" textlink="'Pivot Table'!E16">
      <xdr:nvSpPr>
        <xdr:cNvPr id="216" name="Rectangle: Rounded Corners 215">
          <a:extLst>
            <a:ext uri="{FF2B5EF4-FFF2-40B4-BE49-F238E27FC236}">
              <a16:creationId xmlns:a16="http://schemas.microsoft.com/office/drawing/2014/main" id="{EED74E5A-59E7-5B40-7699-2C165066786E}"/>
            </a:ext>
          </a:extLst>
        </xdr:cNvPr>
        <xdr:cNvSpPr/>
      </xdr:nvSpPr>
      <xdr:spPr>
        <a:xfrm>
          <a:off x="6126480" y="5244342"/>
          <a:ext cx="1080000" cy="252000"/>
        </a:xfrm>
        <a:prstGeom prst="roundRect">
          <a:avLst>
            <a:gd name="adj" fmla="val 3178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5A07AA-207A-47EA-9D0B-1DF4518195FE}" type="TxLink">
            <a:rPr lang="en-US" sz="1100" b="1" i="0" u="none" strike="noStrike">
              <a:solidFill>
                <a:schemeClr val="bg1">
                  <a:lumMod val="95000"/>
                </a:schemeClr>
              </a:solidFill>
              <a:latin typeface="Kulim Park"/>
            </a:rPr>
            <a:pPr algn="ctr"/>
            <a:t> 6,33,594 </a:t>
          </a:fld>
          <a:endParaRPr lang="en-US" sz="1100" b="1">
            <a:solidFill>
              <a:schemeClr val="bg1">
                <a:lumMod val="95000"/>
              </a:schemeClr>
            </a:solidFill>
          </a:endParaRPr>
        </a:p>
      </xdr:txBody>
    </xdr:sp>
    <xdr:clientData/>
  </xdr:twoCellAnchor>
  <xdr:twoCellAnchor>
    <xdr:from>
      <xdr:col>10</xdr:col>
      <xdr:colOff>30480</xdr:colOff>
      <xdr:row>26</xdr:row>
      <xdr:rowOff>156128</xdr:rowOff>
    </xdr:from>
    <xdr:to>
      <xdr:col>11</xdr:col>
      <xdr:colOff>500880</xdr:colOff>
      <xdr:row>28</xdr:row>
      <xdr:rowOff>42368</xdr:rowOff>
    </xdr:to>
    <xdr:sp macro="" textlink="'Pivot Table'!E17">
      <xdr:nvSpPr>
        <xdr:cNvPr id="217" name="Rectangle: Rounded Corners 216">
          <a:extLst>
            <a:ext uri="{FF2B5EF4-FFF2-40B4-BE49-F238E27FC236}">
              <a16:creationId xmlns:a16="http://schemas.microsoft.com/office/drawing/2014/main" id="{C5896783-D3C0-C2B1-1A15-87A83E2BD574}"/>
            </a:ext>
          </a:extLst>
        </xdr:cNvPr>
        <xdr:cNvSpPr/>
      </xdr:nvSpPr>
      <xdr:spPr>
        <a:xfrm>
          <a:off x="6126480" y="4941488"/>
          <a:ext cx="1080000" cy="252000"/>
        </a:xfrm>
        <a:prstGeom prst="roundRect">
          <a:avLst>
            <a:gd name="adj" fmla="val 3178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78FD36-FF54-432F-A2A2-015F7E881DA1}" type="TxLink">
            <a:rPr lang="en-US" sz="1100" b="1" i="0" u="none" strike="noStrike">
              <a:solidFill>
                <a:schemeClr val="bg1">
                  <a:lumMod val="95000"/>
                </a:schemeClr>
              </a:solidFill>
              <a:latin typeface="Kulim Park"/>
            </a:rPr>
            <a:pPr algn="ctr"/>
            <a:t> 9,59,266 </a:t>
          </a:fld>
          <a:endParaRPr lang="en-IN" sz="1100" b="1">
            <a:solidFill>
              <a:schemeClr val="bg1">
                <a:lumMod val="95000"/>
              </a:schemeClr>
            </a:solidFill>
          </a:endParaRPr>
        </a:p>
      </xdr:txBody>
    </xdr:sp>
    <xdr:clientData/>
  </xdr:twoCellAnchor>
  <xdr:twoCellAnchor>
    <xdr:from>
      <xdr:col>10</xdr:col>
      <xdr:colOff>30480</xdr:colOff>
      <xdr:row>30</xdr:row>
      <xdr:rowOff>30316</xdr:rowOff>
    </xdr:from>
    <xdr:to>
      <xdr:col>11</xdr:col>
      <xdr:colOff>500880</xdr:colOff>
      <xdr:row>31</xdr:row>
      <xdr:rowOff>99436</xdr:rowOff>
    </xdr:to>
    <xdr:sp macro="" textlink="'Pivot Table'!E15">
      <xdr:nvSpPr>
        <xdr:cNvPr id="218" name="Rectangle: Rounded Corners 217">
          <a:extLst>
            <a:ext uri="{FF2B5EF4-FFF2-40B4-BE49-F238E27FC236}">
              <a16:creationId xmlns:a16="http://schemas.microsoft.com/office/drawing/2014/main" id="{A4DDC876-0D76-7465-5666-126D2826EFAE}"/>
            </a:ext>
          </a:extLst>
        </xdr:cNvPr>
        <xdr:cNvSpPr/>
      </xdr:nvSpPr>
      <xdr:spPr>
        <a:xfrm>
          <a:off x="6126480" y="5547196"/>
          <a:ext cx="1080000" cy="252000"/>
        </a:xfrm>
        <a:prstGeom prst="roundRect">
          <a:avLst>
            <a:gd name="adj" fmla="val 3178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E04B72-5548-4928-B6C1-B70655E35293}" type="TxLink">
            <a:rPr lang="en-US" sz="1100" b="1" i="0" u="none" strike="noStrike">
              <a:solidFill>
                <a:schemeClr val="bg1">
                  <a:lumMod val="95000"/>
                </a:schemeClr>
              </a:solidFill>
              <a:latin typeface="Kulim Park"/>
            </a:rPr>
            <a:pPr algn="ctr"/>
            <a:t> 6,13,842 </a:t>
          </a:fld>
          <a:endParaRPr lang="en-IN" sz="1100" b="1">
            <a:solidFill>
              <a:schemeClr val="bg1">
                <a:lumMod val="95000"/>
              </a:schemeClr>
            </a:solidFill>
          </a:endParaRPr>
        </a:p>
      </xdr:txBody>
    </xdr:sp>
    <xdr:clientData/>
  </xdr:twoCellAnchor>
  <xdr:twoCellAnchor>
    <xdr:from>
      <xdr:col>10</xdr:col>
      <xdr:colOff>30480</xdr:colOff>
      <xdr:row>31</xdr:row>
      <xdr:rowOff>150290</xdr:rowOff>
    </xdr:from>
    <xdr:to>
      <xdr:col>11</xdr:col>
      <xdr:colOff>500880</xdr:colOff>
      <xdr:row>33</xdr:row>
      <xdr:rowOff>36530</xdr:rowOff>
    </xdr:to>
    <xdr:sp macro="" textlink="'Pivot Table'!E14">
      <xdr:nvSpPr>
        <xdr:cNvPr id="219" name="Rectangle: Rounded Corners 218">
          <a:extLst>
            <a:ext uri="{FF2B5EF4-FFF2-40B4-BE49-F238E27FC236}">
              <a16:creationId xmlns:a16="http://schemas.microsoft.com/office/drawing/2014/main" id="{4CB7F036-DBA7-771E-6D23-F2E880A4F530}"/>
            </a:ext>
          </a:extLst>
        </xdr:cNvPr>
        <xdr:cNvSpPr/>
      </xdr:nvSpPr>
      <xdr:spPr>
        <a:xfrm>
          <a:off x="6126480" y="5850050"/>
          <a:ext cx="1080000" cy="252000"/>
        </a:xfrm>
        <a:prstGeom prst="roundRect">
          <a:avLst>
            <a:gd name="adj" fmla="val 31786"/>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7841C2-A499-47BF-8D6A-534A3834BD07}" type="TxLink">
            <a:rPr lang="en-US" sz="1100" b="1" i="0" u="none" strike="noStrike">
              <a:solidFill>
                <a:schemeClr val="bg1">
                  <a:lumMod val="95000"/>
                </a:schemeClr>
              </a:solidFill>
              <a:latin typeface="Kulim Park"/>
            </a:rPr>
            <a:pPr algn="ctr"/>
            <a:t> 1,67,041 </a:t>
          </a:fld>
          <a:endParaRPr lang="en-IN" sz="1100" b="1">
            <a:solidFill>
              <a:schemeClr val="bg1">
                <a:lumMod val="95000"/>
              </a:schemeClr>
            </a:solidFill>
          </a:endParaRPr>
        </a:p>
      </xdr:txBody>
    </xdr:sp>
    <xdr:clientData/>
  </xdr:twoCellAnchor>
  <xdr:oneCellAnchor>
    <xdr:from>
      <xdr:col>7</xdr:col>
      <xdr:colOff>533400</xdr:colOff>
      <xdr:row>21</xdr:row>
      <xdr:rowOff>7620</xdr:rowOff>
    </xdr:from>
    <xdr:ext cx="1059180" cy="228600"/>
    <xdr:sp macro="" textlink="">
      <xdr:nvSpPr>
        <xdr:cNvPr id="222" name="TextBox 221">
          <a:extLst>
            <a:ext uri="{FF2B5EF4-FFF2-40B4-BE49-F238E27FC236}">
              <a16:creationId xmlns:a16="http://schemas.microsoft.com/office/drawing/2014/main" id="{4C91ACF0-0FC7-FD9F-61DC-9851E381B554}"/>
            </a:ext>
          </a:extLst>
        </xdr:cNvPr>
        <xdr:cNvSpPr txBox="1"/>
      </xdr:nvSpPr>
      <xdr:spPr>
        <a:xfrm>
          <a:off x="4800600" y="3878580"/>
          <a:ext cx="105918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rgbClr val="FFC000"/>
              </a:solidFill>
              <a:latin typeface="Kulim park"/>
            </a:rPr>
            <a:t>Salaries</a:t>
          </a:r>
        </a:p>
      </xdr:txBody>
    </xdr:sp>
    <xdr:clientData/>
  </xdr:oneCellAnchor>
  <xdr:oneCellAnchor>
    <xdr:from>
      <xdr:col>7</xdr:col>
      <xdr:colOff>579120</xdr:colOff>
      <xdr:row>22</xdr:row>
      <xdr:rowOff>0</xdr:rowOff>
    </xdr:from>
    <xdr:ext cx="2286000" cy="264560"/>
    <xdr:sp macro="" textlink="">
      <xdr:nvSpPr>
        <xdr:cNvPr id="229" name="TextBox 228">
          <a:extLst>
            <a:ext uri="{FF2B5EF4-FFF2-40B4-BE49-F238E27FC236}">
              <a16:creationId xmlns:a16="http://schemas.microsoft.com/office/drawing/2014/main" id="{D9ACA1B0-45C7-7539-B220-74B8DDBC59FF}"/>
            </a:ext>
          </a:extLst>
        </xdr:cNvPr>
        <xdr:cNvSpPr txBox="1"/>
      </xdr:nvSpPr>
      <xdr:spPr>
        <a:xfrm>
          <a:off x="4846320" y="4053840"/>
          <a:ext cx="2286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lumMod val="85000"/>
                </a:schemeClr>
              </a:solidFill>
              <a:latin typeface="Kulim park"/>
            </a:rPr>
            <a:t>Salaries Amount by Job Titles</a:t>
          </a:r>
        </a:p>
      </xdr:txBody>
    </xdr:sp>
    <xdr:clientData/>
  </xdr:oneCellAnchor>
  <xdr:oneCellAnchor>
    <xdr:from>
      <xdr:col>12</xdr:col>
      <xdr:colOff>457200</xdr:colOff>
      <xdr:row>19</xdr:row>
      <xdr:rowOff>91440</xdr:rowOff>
    </xdr:from>
    <xdr:ext cx="2286000" cy="280205"/>
    <xdr:sp macro="" textlink="">
      <xdr:nvSpPr>
        <xdr:cNvPr id="230" name="TextBox 229">
          <a:extLst>
            <a:ext uri="{FF2B5EF4-FFF2-40B4-BE49-F238E27FC236}">
              <a16:creationId xmlns:a16="http://schemas.microsoft.com/office/drawing/2014/main" id="{8231404D-48F8-FAB8-6761-2690AC0D91F3}"/>
            </a:ext>
          </a:extLst>
        </xdr:cNvPr>
        <xdr:cNvSpPr txBox="1"/>
      </xdr:nvSpPr>
      <xdr:spPr>
        <a:xfrm>
          <a:off x="7772400" y="3596640"/>
          <a:ext cx="22860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solidFill>
                <a:srgbClr val="FFC000"/>
              </a:solidFill>
              <a:latin typeface="Kulim park"/>
            </a:rPr>
            <a:t>Employement</a:t>
          </a:r>
          <a:r>
            <a:rPr lang="en-IN" sz="1100">
              <a:solidFill>
                <a:srgbClr val="FFC000"/>
              </a:solidFill>
              <a:latin typeface="Kulim park"/>
            </a:rPr>
            <a:t>  Status  BreakDown</a:t>
          </a:r>
        </a:p>
      </xdr:txBody>
    </xdr:sp>
    <xdr:clientData/>
  </xdr:oneCellAnchor>
  <xdr:twoCellAnchor>
    <xdr:from>
      <xdr:col>12</xdr:col>
      <xdr:colOff>83820</xdr:colOff>
      <xdr:row>21</xdr:row>
      <xdr:rowOff>114300</xdr:rowOff>
    </xdr:from>
    <xdr:to>
      <xdr:col>14</xdr:col>
      <xdr:colOff>213360</xdr:colOff>
      <xdr:row>27</xdr:row>
      <xdr:rowOff>91440</xdr:rowOff>
    </xdr:to>
    <xdr:graphicFrame macro="">
      <xdr:nvGraphicFramePr>
        <xdr:cNvPr id="231" name="Chart 230">
          <a:extLst>
            <a:ext uri="{FF2B5EF4-FFF2-40B4-BE49-F238E27FC236}">
              <a16:creationId xmlns:a16="http://schemas.microsoft.com/office/drawing/2014/main" id="{C1E35B13-3BFB-455F-AAFC-7A31B2F38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274320</xdr:colOff>
      <xdr:row>22</xdr:row>
      <xdr:rowOff>0</xdr:rowOff>
    </xdr:from>
    <xdr:to>
      <xdr:col>16</xdr:col>
      <xdr:colOff>418320</xdr:colOff>
      <xdr:row>22</xdr:row>
      <xdr:rowOff>144000</xdr:rowOff>
    </xdr:to>
    <xdr:sp macro="" textlink="">
      <xdr:nvSpPr>
        <xdr:cNvPr id="6" name="Flowchart: Connector 5">
          <a:extLst>
            <a:ext uri="{FF2B5EF4-FFF2-40B4-BE49-F238E27FC236}">
              <a16:creationId xmlns:a16="http://schemas.microsoft.com/office/drawing/2014/main" id="{C3A36876-B934-F3AD-4665-1AFA68B52A41}"/>
            </a:ext>
          </a:extLst>
        </xdr:cNvPr>
        <xdr:cNvSpPr/>
      </xdr:nvSpPr>
      <xdr:spPr>
        <a:xfrm>
          <a:off x="10027920" y="4053840"/>
          <a:ext cx="144000" cy="144000"/>
        </a:xfrm>
        <a:prstGeom prst="flowChartConnector">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259080</xdr:colOff>
      <xdr:row>28</xdr:row>
      <xdr:rowOff>81101</xdr:rowOff>
    </xdr:from>
    <xdr:to>
      <xdr:col>16</xdr:col>
      <xdr:colOff>403080</xdr:colOff>
      <xdr:row>29</xdr:row>
      <xdr:rowOff>42221</xdr:rowOff>
    </xdr:to>
    <xdr:sp macro="" textlink="">
      <xdr:nvSpPr>
        <xdr:cNvPr id="9" name="Flowchart: Connector 8">
          <a:extLst>
            <a:ext uri="{FF2B5EF4-FFF2-40B4-BE49-F238E27FC236}">
              <a16:creationId xmlns:a16="http://schemas.microsoft.com/office/drawing/2014/main" id="{0B83E031-A6B3-4F34-A737-C682E866CB14}"/>
            </a:ext>
          </a:extLst>
        </xdr:cNvPr>
        <xdr:cNvSpPr/>
      </xdr:nvSpPr>
      <xdr:spPr>
        <a:xfrm>
          <a:off x="10012680" y="5232221"/>
          <a:ext cx="144000" cy="144000"/>
        </a:xfrm>
        <a:prstGeom prst="flowChartConnector">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541020</xdr:colOff>
      <xdr:row>28</xdr:row>
      <xdr:rowOff>111581</xdr:rowOff>
    </xdr:from>
    <xdr:to>
      <xdr:col>14</xdr:col>
      <xdr:colOff>75420</xdr:colOff>
      <xdr:row>29</xdr:row>
      <xdr:rowOff>72701</xdr:rowOff>
    </xdr:to>
    <xdr:sp macro="" textlink="">
      <xdr:nvSpPr>
        <xdr:cNvPr id="10" name="Flowchart: Connector 9">
          <a:extLst>
            <a:ext uri="{FF2B5EF4-FFF2-40B4-BE49-F238E27FC236}">
              <a16:creationId xmlns:a16="http://schemas.microsoft.com/office/drawing/2014/main" id="{33719F2F-123B-4382-8264-B97A350E5DCF}"/>
            </a:ext>
          </a:extLst>
        </xdr:cNvPr>
        <xdr:cNvSpPr/>
      </xdr:nvSpPr>
      <xdr:spPr>
        <a:xfrm>
          <a:off x="8465820" y="5262701"/>
          <a:ext cx="144000" cy="144000"/>
        </a:xfrm>
        <a:prstGeom prst="flowChartConnector">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563880</xdr:colOff>
      <xdr:row>24</xdr:row>
      <xdr:rowOff>99060</xdr:rowOff>
    </xdr:from>
    <xdr:to>
      <xdr:col>7</xdr:col>
      <xdr:colOff>358140</xdr:colOff>
      <xdr:row>33</xdr:row>
      <xdr:rowOff>53340</xdr:rowOff>
    </xdr:to>
    <xdr:graphicFrame macro="">
      <xdr:nvGraphicFramePr>
        <xdr:cNvPr id="12" name="Chart 11">
          <a:extLst>
            <a:ext uri="{FF2B5EF4-FFF2-40B4-BE49-F238E27FC236}">
              <a16:creationId xmlns:a16="http://schemas.microsoft.com/office/drawing/2014/main" id="{F4273E31-D5F2-447B-BE8E-FA154712B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434340</xdr:colOff>
      <xdr:row>21</xdr:row>
      <xdr:rowOff>15240</xdr:rowOff>
    </xdr:from>
    <xdr:ext cx="1059180" cy="228600"/>
    <xdr:sp macro="" textlink="">
      <xdr:nvSpPr>
        <xdr:cNvPr id="17" name="TextBox 16">
          <a:extLst>
            <a:ext uri="{FF2B5EF4-FFF2-40B4-BE49-F238E27FC236}">
              <a16:creationId xmlns:a16="http://schemas.microsoft.com/office/drawing/2014/main" id="{152A0613-56CC-8F54-5389-EF554FA4C338}"/>
            </a:ext>
          </a:extLst>
        </xdr:cNvPr>
        <xdr:cNvSpPr txBox="1"/>
      </xdr:nvSpPr>
      <xdr:spPr>
        <a:xfrm>
          <a:off x="2263140" y="3886200"/>
          <a:ext cx="105918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rgbClr val="FFC000"/>
              </a:solidFill>
              <a:latin typeface="Kulim park"/>
            </a:rPr>
            <a:t>  Salaries</a:t>
          </a:r>
        </a:p>
      </xdr:txBody>
    </xdr:sp>
    <xdr:clientData/>
  </xdr:oneCellAnchor>
  <xdr:oneCellAnchor>
    <xdr:from>
      <xdr:col>3</xdr:col>
      <xdr:colOff>411480</xdr:colOff>
      <xdr:row>22</xdr:row>
      <xdr:rowOff>30480</xdr:rowOff>
    </xdr:from>
    <xdr:ext cx="2286000" cy="264560"/>
    <xdr:sp macro="" textlink="">
      <xdr:nvSpPr>
        <xdr:cNvPr id="20" name="TextBox 19">
          <a:extLst>
            <a:ext uri="{FF2B5EF4-FFF2-40B4-BE49-F238E27FC236}">
              <a16:creationId xmlns:a16="http://schemas.microsoft.com/office/drawing/2014/main" id="{1893E59E-CD38-3956-B9AF-60551BCC9978}"/>
            </a:ext>
          </a:extLst>
        </xdr:cNvPr>
        <xdr:cNvSpPr txBox="1"/>
      </xdr:nvSpPr>
      <xdr:spPr>
        <a:xfrm>
          <a:off x="2240280" y="4084320"/>
          <a:ext cx="2286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lumMod val="85000"/>
                </a:schemeClr>
              </a:solidFill>
              <a:latin typeface="Kulim park"/>
            </a:rPr>
            <a:t>No of Employee Age range &amp; gender</a:t>
          </a:r>
        </a:p>
      </xdr:txBody>
    </xdr:sp>
    <xdr:clientData/>
  </xdr:oneCellAnchor>
  <xdr:oneCellAnchor>
    <xdr:from>
      <xdr:col>6</xdr:col>
      <xdr:colOff>83820</xdr:colOff>
      <xdr:row>23</xdr:row>
      <xdr:rowOff>60960</xdr:rowOff>
    </xdr:from>
    <xdr:ext cx="1059180" cy="228600"/>
    <xdr:sp macro="" textlink="">
      <xdr:nvSpPr>
        <xdr:cNvPr id="21" name="TextBox 20">
          <a:extLst>
            <a:ext uri="{FF2B5EF4-FFF2-40B4-BE49-F238E27FC236}">
              <a16:creationId xmlns:a16="http://schemas.microsoft.com/office/drawing/2014/main" id="{D9C677B0-9BE8-F7BC-76A5-6E5B5E40B049}"/>
            </a:ext>
          </a:extLst>
        </xdr:cNvPr>
        <xdr:cNvSpPr txBox="1"/>
      </xdr:nvSpPr>
      <xdr:spPr>
        <a:xfrm>
          <a:off x="3741420" y="4297680"/>
          <a:ext cx="105918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bg2">
                  <a:lumMod val="75000"/>
                </a:schemeClr>
              </a:solidFill>
              <a:latin typeface="Kulim park"/>
            </a:rPr>
            <a:t>Male</a:t>
          </a:r>
        </a:p>
      </xdr:txBody>
    </xdr:sp>
    <xdr:clientData/>
  </xdr:oneCellAnchor>
  <xdr:twoCellAnchor>
    <xdr:from>
      <xdr:col>6</xdr:col>
      <xdr:colOff>297180</xdr:colOff>
      <xdr:row>23</xdr:row>
      <xdr:rowOff>119201</xdr:rowOff>
    </xdr:from>
    <xdr:to>
      <xdr:col>6</xdr:col>
      <xdr:colOff>405180</xdr:colOff>
      <xdr:row>24</xdr:row>
      <xdr:rowOff>44321</xdr:rowOff>
    </xdr:to>
    <xdr:sp macro="" textlink="">
      <xdr:nvSpPr>
        <xdr:cNvPr id="23" name="Flowchart: Connector 22">
          <a:extLst>
            <a:ext uri="{FF2B5EF4-FFF2-40B4-BE49-F238E27FC236}">
              <a16:creationId xmlns:a16="http://schemas.microsoft.com/office/drawing/2014/main" id="{480F7A9D-4C69-8DCC-28F2-62B1E048B4CB}"/>
            </a:ext>
          </a:extLst>
        </xdr:cNvPr>
        <xdr:cNvSpPr/>
      </xdr:nvSpPr>
      <xdr:spPr>
        <a:xfrm>
          <a:off x="3954780" y="4355921"/>
          <a:ext cx="108000" cy="108000"/>
        </a:xfrm>
        <a:prstGeom prst="flowChartConnector">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C000"/>
            </a:solidFill>
          </a:endParaRPr>
        </a:p>
      </xdr:txBody>
    </xdr:sp>
    <xdr:clientData/>
  </xdr:twoCellAnchor>
  <xdr:oneCellAnchor>
    <xdr:from>
      <xdr:col>4</xdr:col>
      <xdr:colOff>426720</xdr:colOff>
      <xdr:row>23</xdr:row>
      <xdr:rowOff>60960</xdr:rowOff>
    </xdr:from>
    <xdr:ext cx="1059180" cy="228600"/>
    <xdr:sp macro="" textlink="">
      <xdr:nvSpPr>
        <xdr:cNvPr id="24" name="TextBox 23">
          <a:extLst>
            <a:ext uri="{FF2B5EF4-FFF2-40B4-BE49-F238E27FC236}">
              <a16:creationId xmlns:a16="http://schemas.microsoft.com/office/drawing/2014/main" id="{235488AA-6CF7-C3DE-9B74-9DAE1CB627A3}"/>
            </a:ext>
          </a:extLst>
        </xdr:cNvPr>
        <xdr:cNvSpPr txBox="1"/>
      </xdr:nvSpPr>
      <xdr:spPr>
        <a:xfrm>
          <a:off x="2865120" y="4297680"/>
          <a:ext cx="105918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bg2">
                  <a:lumMod val="75000"/>
                </a:schemeClr>
              </a:solidFill>
              <a:latin typeface="Kulim park"/>
            </a:rPr>
            <a:t>            Female</a:t>
          </a:r>
        </a:p>
      </xdr:txBody>
    </xdr:sp>
    <xdr:clientData/>
  </xdr:oneCellAnchor>
  <xdr:twoCellAnchor>
    <xdr:from>
      <xdr:col>5</xdr:col>
      <xdr:colOff>160020</xdr:colOff>
      <xdr:row>23</xdr:row>
      <xdr:rowOff>119201</xdr:rowOff>
    </xdr:from>
    <xdr:to>
      <xdr:col>5</xdr:col>
      <xdr:colOff>268020</xdr:colOff>
      <xdr:row>24</xdr:row>
      <xdr:rowOff>44321</xdr:rowOff>
    </xdr:to>
    <xdr:sp macro="" textlink="">
      <xdr:nvSpPr>
        <xdr:cNvPr id="27" name="Flowchart: Connector 26">
          <a:extLst>
            <a:ext uri="{FF2B5EF4-FFF2-40B4-BE49-F238E27FC236}">
              <a16:creationId xmlns:a16="http://schemas.microsoft.com/office/drawing/2014/main" id="{E9EDD3B9-6FC1-5AA3-F382-95C4EB5781A1}"/>
            </a:ext>
          </a:extLst>
        </xdr:cNvPr>
        <xdr:cNvSpPr/>
      </xdr:nvSpPr>
      <xdr:spPr>
        <a:xfrm>
          <a:off x="3208020" y="4355921"/>
          <a:ext cx="108000" cy="108000"/>
        </a:xfrm>
        <a:prstGeom prst="flowChartConnector">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C000"/>
            </a:solidFill>
          </a:endParaRPr>
        </a:p>
      </xdr:txBody>
    </xdr:sp>
    <xdr:clientData/>
  </xdr:twoCellAnchor>
  <xdr:twoCellAnchor>
    <xdr:from>
      <xdr:col>0</xdr:col>
      <xdr:colOff>335280</xdr:colOff>
      <xdr:row>31</xdr:row>
      <xdr:rowOff>15240</xdr:rowOff>
    </xdr:from>
    <xdr:to>
      <xdr:col>2</xdr:col>
      <xdr:colOff>259080</xdr:colOff>
      <xdr:row>34</xdr:row>
      <xdr:rowOff>76200</xdr:rowOff>
    </xdr:to>
    <xdr:graphicFrame macro="">
      <xdr:nvGraphicFramePr>
        <xdr:cNvPr id="32" name="Chart 31">
          <a:extLst>
            <a:ext uri="{FF2B5EF4-FFF2-40B4-BE49-F238E27FC236}">
              <a16:creationId xmlns:a16="http://schemas.microsoft.com/office/drawing/2014/main" id="{BA45575C-8D06-47E2-9FEE-D00261B0F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316230</xdr:colOff>
      <xdr:row>26</xdr:row>
      <xdr:rowOff>22860</xdr:rowOff>
    </xdr:from>
    <xdr:to>
      <xdr:col>2</xdr:col>
      <xdr:colOff>243840</xdr:colOff>
      <xdr:row>29</xdr:row>
      <xdr:rowOff>42930</xdr:rowOff>
    </xdr:to>
    <xdr:graphicFrame macro="">
      <xdr:nvGraphicFramePr>
        <xdr:cNvPr id="60" name="Chart 59">
          <a:extLst>
            <a:ext uri="{FF2B5EF4-FFF2-40B4-BE49-F238E27FC236}">
              <a16:creationId xmlns:a16="http://schemas.microsoft.com/office/drawing/2014/main" id="{7EA9FF67-F21D-7AB8-4545-889FA06C5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300990</xdr:colOff>
      <xdr:row>29</xdr:row>
      <xdr:rowOff>106680</xdr:rowOff>
    </xdr:from>
    <xdr:to>
      <xdr:col>2</xdr:col>
      <xdr:colOff>220980</xdr:colOff>
      <xdr:row>33</xdr:row>
      <xdr:rowOff>114300</xdr:rowOff>
    </xdr:to>
    <xdr:graphicFrame macro="">
      <xdr:nvGraphicFramePr>
        <xdr:cNvPr id="61" name="Chart 60">
          <a:extLst>
            <a:ext uri="{FF2B5EF4-FFF2-40B4-BE49-F238E27FC236}">
              <a16:creationId xmlns:a16="http://schemas.microsoft.com/office/drawing/2014/main" id="{9FFA0FA9-658D-8522-D31E-D4D8CCDE2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358140</xdr:colOff>
      <xdr:row>26</xdr:row>
      <xdr:rowOff>22860</xdr:rowOff>
    </xdr:from>
    <xdr:ext cx="1303020" cy="264560"/>
    <xdr:sp macro="" textlink="">
      <xdr:nvSpPr>
        <xdr:cNvPr id="164" name="TextBox 163">
          <a:extLst>
            <a:ext uri="{FF2B5EF4-FFF2-40B4-BE49-F238E27FC236}">
              <a16:creationId xmlns:a16="http://schemas.microsoft.com/office/drawing/2014/main" id="{BEEEACA2-0559-F824-66AC-6D4304B4D294}"/>
            </a:ext>
          </a:extLst>
        </xdr:cNvPr>
        <xdr:cNvSpPr txBox="1"/>
      </xdr:nvSpPr>
      <xdr:spPr>
        <a:xfrm>
          <a:off x="358140" y="4808220"/>
          <a:ext cx="1303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0" i="0" u="none" strike="noStrike">
              <a:solidFill>
                <a:schemeClr val="bg1">
                  <a:lumMod val="95000"/>
                </a:schemeClr>
              </a:solidFill>
              <a:effectLst/>
              <a:latin typeface="+mn-lt"/>
              <a:ea typeface="+mn-ea"/>
              <a:cs typeface="+mn-cs"/>
            </a:rPr>
            <a:t>Branch</a:t>
          </a:r>
          <a:r>
            <a:rPr lang="en-IN" sz="1100" b="0" i="0" u="none" strike="noStrike">
              <a:solidFill>
                <a:schemeClr val="tx1"/>
              </a:solidFill>
              <a:effectLst/>
              <a:latin typeface="+mn-lt"/>
              <a:ea typeface="+mn-ea"/>
              <a:cs typeface="+mn-cs"/>
            </a:rPr>
            <a:t> </a:t>
          </a:r>
          <a:r>
            <a:rPr lang="en-IN" sz="1100" b="0" i="0" u="none" strike="noStrike">
              <a:solidFill>
                <a:schemeClr val="bg1">
                  <a:lumMod val="95000"/>
                </a:schemeClr>
              </a:solidFill>
              <a:effectLst/>
              <a:latin typeface="+mn-lt"/>
              <a:ea typeface="+mn-ea"/>
              <a:cs typeface="+mn-cs"/>
            </a:rPr>
            <a:t>Office</a:t>
          </a:r>
          <a:r>
            <a:rPr lang="en-IN">
              <a:effectLst/>
            </a:rPr>
            <a:t> </a:t>
          </a:r>
          <a:endParaRPr lang="en-IN" sz="1100"/>
        </a:p>
      </xdr:txBody>
    </xdr:sp>
    <xdr:clientData/>
  </xdr:oneCellAnchor>
  <xdr:oneCellAnchor>
    <xdr:from>
      <xdr:col>0</xdr:col>
      <xdr:colOff>304800</xdr:colOff>
      <xdr:row>28</xdr:row>
      <xdr:rowOff>99060</xdr:rowOff>
    </xdr:from>
    <xdr:ext cx="1341120" cy="264560"/>
    <xdr:sp macro="" textlink="">
      <xdr:nvSpPr>
        <xdr:cNvPr id="174" name="TextBox 173">
          <a:extLst>
            <a:ext uri="{FF2B5EF4-FFF2-40B4-BE49-F238E27FC236}">
              <a16:creationId xmlns:a16="http://schemas.microsoft.com/office/drawing/2014/main" id="{9B76E887-BD0D-E8FA-C37C-5F79E989EB9A}"/>
            </a:ext>
          </a:extLst>
        </xdr:cNvPr>
        <xdr:cNvSpPr txBox="1"/>
      </xdr:nvSpPr>
      <xdr:spPr>
        <a:xfrm>
          <a:off x="304800" y="5250180"/>
          <a:ext cx="13411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0" i="0" u="none" strike="noStrike">
              <a:solidFill>
                <a:schemeClr val="bg1">
                  <a:lumMod val="95000"/>
                </a:schemeClr>
              </a:solidFill>
              <a:effectLst/>
              <a:latin typeface="+mn-lt"/>
              <a:ea typeface="+mn-ea"/>
              <a:cs typeface="+mn-cs"/>
            </a:rPr>
            <a:t> Branch</a:t>
          </a:r>
          <a:r>
            <a:rPr lang="en-IN" sz="1100" b="0" i="0" u="none" strike="noStrike">
              <a:solidFill>
                <a:schemeClr val="tx1"/>
              </a:solidFill>
              <a:effectLst/>
              <a:latin typeface="+mn-lt"/>
              <a:ea typeface="+mn-ea"/>
              <a:cs typeface="+mn-cs"/>
            </a:rPr>
            <a:t> </a:t>
          </a:r>
          <a:r>
            <a:rPr lang="en-IN" sz="1100" b="0" i="0" u="none" strike="noStrike">
              <a:solidFill>
                <a:schemeClr val="bg1">
                  <a:lumMod val="95000"/>
                </a:schemeClr>
              </a:solidFill>
              <a:effectLst/>
              <a:latin typeface="+mn-lt"/>
              <a:ea typeface="+mn-ea"/>
              <a:cs typeface="+mn-cs"/>
            </a:rPr>
            <a:t>Office</a:t>
          </a:r>
          <a:r>
            <a:rPr lang="en-IN">
              <a:effectLst/>
            </a:rPr>
            <a:t> </a:t>
          </a:r>
          <a:endParaRPr lang="en-IN" sz="1100"/>
        </a:p>
      </xdr:txBody>
    </xdr:sp>
    <xdr:clientData/>
  </xdr:oneCellAnchor>
  <xdr:oneCellAnchor>
    <xdr:from>
      <xdr:col>0</xdr:col>
      <xdr:colOff>358140</xdr:colOff>
      <xdr:row>30</xdr:row>
      <xdr:rowOff>129540</xdr:rowOff>
    </xdr:from>
    <xdr:ext cx="1341120" cy="264560"/>
    <xdr:sp macro="" textlink="">
      <xdr:nvSpPr>
        <xdr:cNvPr id="175" name="TextBox 174">
          <a:extLst>
            <a:ext uri="{FF2B5EF4-FFF2-40B4-BE49-F238E27FC236}">
              <a16:creationId xmlns:a16="http://schemas.microsoft.com/office/drawing/2014/main" id="{CB92CB30-E8D4-6612-627A-9B065BAFFFC9}"/>
            </a:ext>
          </a:extLst>
        </xdr:cNvPr>
        <xdr:cNvSpPr txBox="1"/>
      </xdr:nvSpPr>
      <xdr:spPr>
        <a:xfrm>
          <a:off x="358140" y="5646420"/>
          <a:ext cx="13411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0" i="0" u="none" strike="noStrike">
              <a:solidFill>
                <a:schemeClr val="bg1">
                  <a:lumMod val="95000"/>
                </a:schemeClr>
              </a:solidFill>
              <a:effectLst/>
              <a:latin typeface="+mn-lt"/>
              <a:ea typeface="+mn-ea"/>
              <a:cs typeface="+mn-cs"/>
            </a:rPr>
            <a:t>Branch</a:t>
          </a:r>
          <a:r>
            <a:rPr lang="en-IN" sz="1100" b="0" i="0" u="none" strike="noStrike">
              <a:solidFill>
                <a:schemeClr val="tx1"/>
              </a:solidFill>
              <a:effectLst/>
              <a:latin typeface="+mn-lt"/>
              <a:ea typeface="+mn-ea"/>
              <a:cs typeface="+mn-cs"/>
            </a:rPr>
            <a:t> </a:t>
          </a:r>
          <a:r>
            <a:rPr lang="en-IN" sz="1100" b="0" i="0" u="none" strike="noStrike">
              <a:solidFill>
                <a:schemeClr val="bg1">
                  <a:lumMod val="95000"/>
                </a:schemeClr>
              </a:solidFill>
              <a:effectLst/>
              <a:latin typeface="+mn-lt"/>
              <a:ea typeface="+mn-ea"/>
              <a:cs typeface="+mn-cs"/>
            </a:rPr>
            <a:t>Office</a:t>
          </a:r>
          <a:r>
            <a:rPr lang="en-IN">
              <a:effectLst/>
            </a:rPr>
            <a:t> </a:t>
          </a:r>
          <a:endParaRPr lang="en-IN" sz="1100"/>
        </a:p>
      </xdr:txBody>
    </xdr:sp>
    <xdr:clientData/>
  </xdr:oneCellAnchor>
  <xdr:oneCellAnchor>
    <xdr:from>
      <xdr:col>2</xdr:col>
      <xdr:colOff>403860</xdr:colOff>
      <xdr:row>27</xdr:row>
      <xdr:rowOff>53340</xdr:rowOff>
    </xdr:from>
    <xdr:ext cx="472440" cy="264560"/>
    <xdr:sp macro="" textlink="'Pivot Table'!P12">
      <xdr:nvSpPr>
        <xdr:cNvPr id="177" name="TextBox 176">
          <a:extLst>
            <a:ext uri="{FF2B5EF4-FFF2-40B4-BE49-F238E27FC236}">
              <a16:creationId xmlns:a16="http://schemas.microsoft.com/office/drawing/2014/main" id="{53F4B36D-5CD3-B7B7-E938-365FB1E1B841}"/>
            </a:ext>
          </a:extLst>
        </xdr:cNvPr>
        <xdr:cNvSpPr txBox="1"/>
      </xdr:nvSpPr>
      <xdr:spPr>
        <a:xfrm>
          <a:off x="1623060" y="5021580"/>
          <a:ext cx="4724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4EEF3DE-CE57-444C-AB5C-A40A9DCF4DB5}" type="TxLink">
            <a:rPr lang="en-US" sz="1100" b="1" i="0" u="none" strike="noStrike">
              <a:solidFill>
                <a:schemeClr val="bg1">
                  <a:lumMod val="95000"/>
                </a:schemeClr>
              </a:solidFill>
              <a:latin typeface="Aptos Narrow"/>
            </a:rPr>
            <a:pPr/>
            <a:t>46%</a:t>
          </a:fld>
          <a:endParaRPr lang="en-IN" sz="1100">
            <a:solidFill>
              <a:schemeClr val="bg1">
                <a:lumMod val="95000"/>
              </a:schemeClr>
            </a:solidFill>
          </a:endParaRPr>
        </a:p>
      </xdr:txBody>
    </xdr:sp>
    <xdr:clientData/>
  </xdr:oneCellAnchor>
  <xdr:oneCellAnchor>
    <xdr:from>
      <xdr:col>2</xdr:col>
      <xdr:colOff>373380</xdr:colOff>
      <xdr:row>29</xdr:row>
      <xdr:rowOff>114300</xdr:rowOff>
    </xdr:from>
    <xdr:ext cx="472440" cy="264560"/>
    <xdr:sp macro="" textlink="'Pivot Table'!P13">
      <xdr:nvSpPr>
        <xdr:cNvPr id="178" name="TextBox 177">
          <a:extLst>
            <a:ext uri="{FF2B5EF4-FFF2-40B4-BE49-F238E27FC236}">
              <a16:creationId xmlns:a16="http://schemas.microsoft.com/office/drawing/2014/main" id="{48019CE9-BF34-7B7E-295B-9E2C8CC79A99}"/>
            </a:ext>
          </a:extLst>
        </xdr:cNvPr>
        <xdr:cNvSpPr txBox="1"/>
      </xdr:nvSpPr>
      <xdr:spPr>
        <a:xfrm>
          <a:off x="1592580" y="5448300"/>
          <a:ext cx="4724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2FACF70-CFE7-4A2E-A651-43EC71A76838}" type="TxLink">
            <a:rPr lang="en-US" sz="1100" b="1" i="0" u="none" strike="noStrike">
              <a:solidFill>
                <a:schemeClr val="bg1">
                  <a:lumMod val="95000"/>
                </a:schemeClr>
              </a:solidFill>
              <a:latin typeface="Aptos Narrow"/>
            </a:rPr>
            <a:pPr/>
            <a:t>16%</a:t>
          </a:fld>
          <a:endParaRPr lang="en-IN" sz="1100">
            <a:solidFill>
              <a:schemeClr val="bg1">
                <a:lumMod val="95000"/>
              </a:schemeClr>
            </a:solidFill>
          </a:endParaRPr>
        </a:p>
      </xdr:txBody>
    </xdr:sp>
    <xdr:clientData/>
  </xdr:oneCellAnchor>
  <xdr:oneCellAnchor>
    <xdr:from>
      <xdr:col>2</xdr:col>
      <xdr:colOff>373380</xdr:colOff>
      <xdr:row>32</xdr:row>
      <xdr:rowOff>15240</xdr:rowOff>
    </xdr:from>
    <xdr:ext cx="472440" cy="264560"/>
    <xdr:sp macro="" textlink="'Pivot Table'!P14">
      <xdr:nvSpPr>
        <xdr:cNvPr id="195" name="TextBox 194">
          <a:extLst>
            <a:ext uri="{FF2B5EF4-FFF2-40B4-BE49-F238E27FC236}">
              <a16:creationId xmlns:a16="http://schemas.microsoft.com/office/drawing/2014/main" id="{E9C72C36-1436-4BAC-B8D0-7B46A88E8AEB}"/>
            </a:ext>
          </a:extLst>
        </xdr:cNvPr>
        <xdr:cNvSpPr txBox="1"/>
      </xdr:nvSpPr>
      <xdr:spPr>
        <a:xfrm>
          <a:off x="1592580" y="5897880"/>
          <a:ext cx="4724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92CCC78-F10F-4690-A10F-C0FAC191ECC6}" type="TxLink">
            <a:rPr lang="en-US" sz="1100" b="1" i="0" u="none" strike="noStrike">
              <a:solidFill>
                <a:schemeClr val="bg1">
                  <a:lumMod val="95000"/>
                </a:schemeClr>
              </a:solidFill>
              <a:latin typeface="Aptos Narrow"/>
            </a:rPr>
            <a:pPr/>
            <a:t>38%</a:t>
          </a:fld>
          <a:endParaRPr lang="en-IN" sz="1100">
            <a:solidFill>
              <a:schemeClr val="bg1">
                <a:lumMod val="95000"/>
              </a:schemeClr>
            </a:solidFill>
          </a:endParaRPr>
        </a:p>
      </xdr:txBody>
    </xdr:sp>
    <xdr:clientData/>
  </xdr:oneCellAnchor>
  <xdr:oneCellAnchor>
    <xdr:from>
      <xdr:col>0</xdr:col>
      <xdr:colOff>388620</xdr:colOff>
      <xdr:row>23</xdr:row>
      <xdr:rowOff>121920</xdr:rowOff>
    </xdr:from>
    <xdr:ext cx="1394460" cy="228600"/>
    <xdr:sp macro="" textlink="">
      <xdr:nvSpPr>
        <xdr:cNvPr id="196" name="TextBox 195">
          <a:extLst>
            <a:ext uri="{FF2B5EF4-FFF2-40B4-BE49-F238E27FC236}">
              <a16:creationId xmlns:a16="http://schemas.microsoft.com/office/drawing/2014/main" id="{3BE9A83C-B645-8B4C-9CA8-FD41FA9FB9C6}"/>
            </a:ext>
          </a:extLst>
        </xdr:cNvPr>
        <xdr:cNvSpPr txBox="1"/>
      </xdr:nvSpPr>
      <xdr:spPr>
        <a:xfrm>
          <a:off x="388620" y="4358640"/>
          <a:ext cx="139446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200" b="1">
              <a:solidFill>
                <a:srgbClr val="FFC000"/>
              </a:solidFill>
              <a:latin typeface="Kulim park"/>
            </a:rPr>
            <a:t>Work Location</a:t>
          </a:r>
        </a:p>
        <a:p>
          <a:pPr algn="l"/>
          <a:endParaRPr lang="en-IN" sz="1200" b="1">
            <a:solidFill>
              <a:srgbClr val="FFC000"/>
            </a:solidFill>
            <a:latin typeface="Kulim park"/>
          </a:endParaRPr>
        </a:p>
      </xdr:txBody>
    </xdr:sp>
    <xdr:clientData/>
  </xdr:oneCellAnchor>
  <xdr:oneCellAnchor>
    <xdr:from>
      <xdr:col>0</xdr:col>
      <xdr:colOff>243840</xdr:colOff>
      <xdr:row>24</xdr:row>
      <xdr:rowOff>144780</xdr:rowOff>
    </xdr:from>
    <xdr:ext cx="2286000" cy="264560"/>
    <xdr:sp macro="" textlink="">
      <xdr:nvSpPr>
        <xdr:cNvPr id="198" name="TextBox 197">
          <a:extLst>
            <a:ext uri="{FF2B5EF4-FFF2-40B4-BE49-F238E27FC236}">
              <a16:creationId xmlns:a16="http://schemas.microsoft.com/office/drawing/2014/main" id="{5E2770A2-5148-CB3C-B8F6-4C1694F55DDA}"/>
            </a:ext>
          </a:extLst>
        </xdr:cNvPr>
        <xdr:cNvSpPr txBox="1"/>
      </xdr:nvSpPr>
      <xdr:spPr>
        <a:xfrm>
          <a:off x="243840" y="4564380"/>
          <a:ext cx="2286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lumMod val="85000"/>
                </a:schemeClr>
              </a:solidFill>
              <a:latin typeface="Kulim park"/>
            </a:rPr>
            <a:t> Employee</a:t>
          </a:r>
          <a:r>
            <a:rPr lang="en-IN" sz="1100" baseline="0">
              <a:solidFill>
                <a:schemeClr val="bg1">
                  <a:lumMod val="85000"/>
                </a:schemeClr>
              </a:solidFill>
              <a:latin typeface="Kulim park"/>
            </a:rPr>
            <a:t>  to Workplace</a:t>
          </a:r>
          <a:endParaRPr lang="en-IN" sz="1100">
            <a:solidFill>
              <a:schemeClr val="bg1">
                <a:lumMod val="85000"/>
              </a:schemeClr>
            </a:solidFill>
            <a:latin typeface="Kulim park"/>
          </a:endParaRPr>
        </a:p>
      </xdr:txBody>
    </xdr:sp>
    <xdr:clientData/>
  </xdr:oneCellAnchor>
  <xdr:twoCellAnchor>
    <xdr:from>
      <xdr:col>0</xdr:col>
      <xdr:colOff>266700</xdr:colOff>
      <xdr:row>14</xdr:row>
      <xdr:rowOff>137160</xdr:rowOff>
    </xdr:from>
    <xdr:to>
      <xdr:col>2</xdr:col>
      <xdr:colOff>167640</xdr:colOff>
      <xdr:row>16</xdr:row>
      <xdr:rowOff>140676</xdr:rowOff>
    </xdr:to>
    <xdr:sp macro="" textlink="">
      <xdr:nvSpPr>
        <xdr:cNvPr id="211" name="TextBox 210">
          <a:extLst>
            <a:ext uri="{FF2B5EF4-FFF2-40B4-BE49-F238E27FC236}">
              <a16:creationId xmlns:a16="http://schemas.microsoft.com/office/drawing/2014/main" id="{FBED10A1-5C43-4D7C-9AA1-86B08F9C7B00}"/>
            </a:ext>
          </a:extLst>
        </xdr:cNvPr>
        <xdr:cNvSpPr txBox="1"/>
      </xdr:nvSpPr>
      <xdr:spPr>
        <a:xfrm>
          <a:off x="266700" y="2727960"/>
          <a:ext cx="1120140" cy="369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i="0" u="none" strike="noStrike">
              <a:solidFill>
                <a:schemeClr val="bg1">
                  <a:lumMod val="95000"/>
                </a:schemeClr>
              </a:solidFill>
              <a:effectLst/>
              <a:latin typeface="+mn-lt"/>
              <a:ea typeface="+mn-ea"/>
              <a:cs typeface="+mn-cs"/>
            </a:rPr>
            <a:t>Communication</a:t>
          </a:r>
          <a:r>
            <a:rPr lang="en-IN" b="1">
              <a:effectLst/>
            </a:rPr>
            <a:t> </a:t>
          </a:r>
          <a:endParaRPr lang="en-IN" sz="1100" b="1">
            <a:solidFill>
              <a:schemeClr val="bg1">
                <a:lumMod val="95000"/>
              </a:schemeClr>
            </a:solidFill>
            <a:latin typeface="Kulim park"/>
          </a:endParaRPr>
        </a:p>
      </xdr:txBody>
    </xdr:sp>
    <xdr:clientData/>
  </xdr:twoCellAnchor>
  <xdr:twoCellAnchor>
    <xdr:from>
      <xdr:col>0</xdr:col>
      <xdr:colOff>266700</xdr:colOff>
      <xdr:row>16</xdr:row>
      <xdr:rowOff>5394</xdr:rowOff>
    </xdr:from>
    <xdr:to>
      <xdr:col>1</xdr:col>
      <xdr:colOff>495300</xdr:colOff>
      <xdr:row>18</xdr:row>
      <xdr:rowOff>8910</xdr:rowOff>
    </xdr:to>
    <xdr:sp macro="" textlink="">
      <xdr:nvSpPr>
        <xdr:cNvPr id="212" name="TextBox 211">
          <a:extLst>
            <a:ext uri="{FF2B5EF4-FFF2-40B4-BE49-F238E27FC236}">
              <a16:creationId xmlns:a16="http://schemas.microsoft.com/office/drawing/2014/main" id="{37AC5183-6E79-41AB-BF94-5A54E71AD605}"/>
            </a:ext>
          </a:extLst>
        </xdr:cNvPr>
        <xdr:cNvSpPr txBox="1"/>
      </xdr:nvSpPr>
      <xdr:spPr>
        <a:xfrm>
          <a:off x="266700" y="2961954"/>
          <a:ext cx="838200" cy="369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100" b="1" i="0" u="none" strike="noStrike">
              <a:solidFill>
                <a:schemeClr val="bg1">
                  <a:lumMod val="95000"/>
                </a:schemeClr>
              </a:solidFill>
              <a:effectLst/>
              <a:latin typeface="+mn-lt"/>
              <a:ea typeface="+mn-ea"/>
              <a:cs typeface="+mn-cs"/>
            </a:rPr>
            <a:t>Design</a:t>
          </a:r>
          <a:r>
            <a:rPr lang="en-IN" b="1">
              <a:solidFill>
                <a:schemeClr val="bg1">
                  <a:lumMod val="95000"/>
                </a:schemeClr>
              </a:solidFill>
              <a:effectLst/>
            </a:rPr>
            <a:t> </a:t>
          </a:r>
          <a:endParaRPr lang="en-IN" sz="1100" b="1">
            <a:solidFill>
              <a:schemeClr val="bg1">
                <a:lumMod val="95000"/>
              </a:schemeClr>
            </a:solidFill>
            <a:latin typeface="Kulim park"/>
          </a:endParaRPr>
        </a:p>
      </xdr:txBody>
    </xdr:sp>
    <xdr:clientData/>
  </xdr:twoCellAnchor>
  <xdr:twoCellAnchor>
    <xdr:from>
      <xdr:col>0</xdr:col>
      <xdr:colOff>266700</xdr:colOff>
      <xdr:row>17</xdr:row>
      <xdr:rowOff>132704</xdr:rowOff>
    </xdr:from>
    <xdr:to>
      <xdr:col>1</xdr:col>
      <xdr:colOff>419100</xdr:colOff>
      <xdr:row>19</xdr:row>
      <xdr:rowOff>136220</xdr:rowOff>
    </xdr:to>
    <xdr:sp macro="" textlink="">
      <xdr:nvSpPr>
        <xdr:cNvPr id="214" name="TextBox 213">
          <a:extLst>
            <a:ext uri="{FF2B5EF4-FFF2-40B4-BE49-F238E27FC236}">
              <a16:creationId xmlns:a16="http://schemas.microsoft.com/office/drawing/2014/main" id="{A662D4D6-007D-4821-A19E-47839ABCC61D}"/>
            </a:ext>
          </a:extLst>
        </xdr:cNvPr>
        <xdr:cNvSpPr txBox="1"/>
      </xdr:nvSpPr>
      <xdr:spPr>
        <a:xfrm>
          <a:off x="266700" y="3272144"/>
          <a:ext cx="762000" cy="369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i="0" u="none" strike="noStrike">
              <a:solidFill>
                <a:schemeClr val="bg1">
                  <a:lumMod val="95000"/>
                </a:schemeClr>
              </a:solidFill>
              <a:effectLst/>
              <a:latin typeface="+mn-lt"/>
              <a:ea typeface="+mn-ea"/>
              <a:cs typeface="+mn-cs"/>
            </a:rPr>
            <a:t>Excel</a:t>
          </a:r>
          <a:r>
            <a:rPr lang="en-IN" b="1">
              <a:effectLst/>
            </a:rPr>
            <a:t> </a:t>
          </a:r>
          <a:endParaRPr lang="en-IN" sz="1100" b="1">
            <a:solidFill>
              <a:schemeClr val="bg1">
                <a:lumMod val="95000"/>
              </a:schemeClr>
            </a:solidFill>
            <a:latin typeface="Kulim park"/>
          </a:endParaRPr>
        </a:p>
      </xdr:txBody>
    </xdr:sp>
    <xdr:clientData/>
  </xdr:twoCellAnchor>
  <xdr:twoCellAnchor>
    <xdr:from>
      <xdr:col>0</xdr:col>
      <xdr:colOff>266700</xdr:colOff>
      <xdr:row>19</xdr:row>
      <xdr:rowOff>77140</xdr:rowOff>
    </xdr:from>
    <xdr:to>
      <xdr:col>2</xdr:col>
      <xdr:colOff>0</xdr:colOff>
      <xdr:row>21</xdr:row>
      <xdr:rowOff>80656</xdr:rowOff>
    </xdr:to>
    <xdr:sp macro="" textlink="">
      <xdr:nvSpPr>
        <xdr:cNvPr id="220" name="TextBox 219">
          <a:extLst>
            <a:ext uri="{FF2B5EF4-FFF2-40B4-BE49-F238E27FC236}">
              <a16:creationId xmlns:a16="http://schemas.microsoft.com/office/drawing/2014/main" id="{2C78272E-8928-4B5A-A663-6F412D8B0001}"/>
            </a:ext>
          </a:extLst>
        </xdr:cNvPr>
        <xdr:cNvSpPr txBox="1"/>
      </xdr:nvSpPr>
      <xdr:spPr>
        <a:xfrm>
          <a:off x="266700" y="3582340"/>
          <a:ext cx="952500" cy="369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i="0" u="none" strike="noStrike">
              <a:solidFill>
                <a:schemeClr val="bg1">
                  <a:lumMod val="95000"/>
                </a:schemeClr>
              </a:solidFill>
              <a:effectLst/>
              <a:latin typeface="+mn-lt"/>
              <a:ea typeface="+mn-ea"/>
              <a:cs typeface="+mn-cs"/>
            </a:rPr>
            <a:t>Management</a:t>
          </a:r>
          <a:endParaRPr lang="en-IN" sz="1100" b="1">
            <a:solidFill>
              <a:schemeClr val="bg1">
                <a:lumMod val="95000"/>
              </a:schemeClr>
            </a:solidFill>
            <a:latin typeface="Kulim park"/>
          </a:endParaRPr>
        </a:p>
      </xdr:txBody>
    </xdr:sp>
    <xdr:clientData/>
  </xdr:twoCellAnchor>
  <xdr:twoCellAnchor>
    <xdr:from>
      <xdr:col>0</xdr:col>
      <xdr:colOff>266700</xdr:colOff>
      <xdr:row>21</xdr:row>
      <xdr:rowOff>21573</xdr:rowOff>
    </xdr:from>
    <xdr:to>
      <xdr:col>1</xdr:col>
      <xdr:colOff>495300</xdr:colOff>
      <xdr:row>23</xdr:row>
      <xdr:rowOff>25089</xdr:rowOff>
    </xdr:to>
    <xdr:sp macro="" textlink="">
      <xdr:nvSpPr>
        <xdr:cNvPr id="221" name="TextBox 220">
          <a:extLst>
            <a:ext uri="{FF2B5EF4-FFF2-40B4-BE49-F238E27FC236}">
              <a16:creationId xmlns:a16="http://schemas.microsoft.com/office/drawing/2014/main" id="{A627AEEA-FBB6-49AF-ACC4-42CC5FBF6908}"/>
            </a:ext>
          </a:extLst>
        </xdr:cNvPr>
        <xdr:cNvSpPr txBox="1"/>
      </xdr:nvSpPr>
      <xdr:spPr>
        <a:xfrm>
          <a:off x="266700" y="3892533"/>
          <a:ext cx="838200" cy="369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i="0" u="none" strike="noStrike">
              <a:solidFill>
                <a:schemeClr val="bg1">
                  <a:lumMod val="95000"/>
                </a:schemeClr>
              </a:solidFill>
              <a:effectLst/>
              <a:latin typeface="+mn-lt"/>
              <a:ea typeface="+mn-ea"/>
              <a:cs typeface="+mn-cs"/>
            </a:rPr>
            <a:t>Python</a:t>
          </a:r>
          <a:r>
            <a:rPr lang="en-IN" b="1">
              <a:effectLst/>
            </a:rPr>
            <a:t> </a:t>
          </a:r>
          <a:endParaRPr lang="en-IN" sz="1100" b="1">
            <a:solidFill>
              <a:schemeClr val="bg1">
                <a:lumMod val="95000"/>
              </a:schemeClr>
            </a:solidFill>
            <a:latin typeface="Kulim park"/>
          </a:endParaRPr>
        </a:p>
      </xdr:txBody>
    </xdr:sp>
    <xdr:clientData/>
  </xdr:twoCellAnchor>
  <xdr:twoCellAnchor>
    <xdr:from>
      <xdr:col>2</xdr:col>
      <xdr:colOff>68580</xdr:colOff>
      <xdr:row>14</xdr:row>
      <xdr:rowOff>60960</xdr:rowOff>
    </xdr:from>
    <xdr:to>
      <xdr:col>3</xdr:col>
      <xdr:colOff>129540</xdr:colOff>
      <xdr:row>16</xdr:row>
      <xdr:rowOff>64476</xdr:rowOff>
    </xdr:to>
    <xdr:sp macro="" textlink="'Pivot Table'!T13">
      <xdr:nvSpPr>
        <xdr:cNvPr id="228" name="TextBox 227">
          <a:extLst>
            <a:ext uri="{FF2B5EF4-FFF2-40B4-BE49-F238E27FC236}">
              <a16:creationId xmlns:a16="http://schemas.microsoft.com/office/drawing/2014/main" id="{3F0122A7-DBCA-6E9A-3E71-52F4EAADFCD9}"/>
            </a:ext>
          </a:extLst>
        </xdr:cNvPr>
        <xdr:cNvSpPr txBox="1"/>
      </xdr:nvSpPr>
      <xdr:spPr>
        <a:xfrm>
          <a:off x="1287780" y="2651760"/>
          <a:ext cx="670560" cy="369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8BA005B-95D6-4BF9-8304-387407CB4B3A}" type="TxLink">
            <a:rPr lang="en-US" sz="1400" b="1" i="0" u="none" strike="noStrike">
              <a:solidFill>
                <a:srgbClr val="FFC000"/>
              </a:solidFill>
              <a:effectLst/>
              <a:latin typeface="Aptos Narrow"/>
            </a:rPr>
            <a:pPr algn="ctr"/>
            <a:t>12</a:t>
          </a:fld>
          <a:endParaRPr lang="en-IN" sz="1400" b="1">
            <a:solidFill>
              <a:srgbClr val="FFC000"/>
            </a:solidFill>
            <a:latin typeface="Kulim park"/>
          </a:endParaRPr>
        </a:p>
      </xdr:txBody>
    </xdr:sp>
    <xdr:clientData/>
  </xdr:twoCellAnchor>
  <xdr:twoCellAnchor>
    <xdr:from>
      <xdr:col>2</xdr:col>
      <xdr:colOff>76200</xdr:colOff>
      <xdr:row>15</xdr:row>
      <xdr:rowOff>169223</xdr:rowOff>
    </xdr:from>
    <xdr:to>
      <xdr:col>3</xdr:col>
      <xdr:colOff>167640</xdr:colOff>
      <xdr:row>17</xdr:row>
      <xdr:rowOff>172739</xdr:rowOff>
    </xdr:to>
    <xdr:sp macro="" textlink="'Pivot Table'!T14">
      <xdr:nvSpPr>
        <xdr:cNvPr id="232" name="TextBox 231">
          <a:extLst>
            <a:ext uri="{FF2B5EF4-FFF2-40B4-BE49-F238E27FC236}">
              <a16:creationId xmlns:a16="http://schemas.microsoft.com/office/drawing/2014/main" id="{F4E99306-C3FA-4A50-6420-30BFDCF3D855}"/>
            </a:ext>
          </a:extLst>
        </xdr:cNvPr>
        <xdr:cNvSpPr txBox="1"/>
      </xdr:nvSpPr>
      <xdr:spPr>
        <a:xfrm>
          <a:off x="1295400" y="2942903"/>
          <a:ext cx="701040" cy="369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BEEB9D8-C2B5-42EE-BB65-2132CF38D11A}" type="TxLink">
            <a:rPr lang="en-US" sz="1400" b="1" i="0" u="none" strike="noStrike">
              <a:solidFill>
                <a:srgbClr val="FFC000"/>
              </a:solidFill>
              <a:latin typeface="Aptos Narrow"/>
            </a:rPr>
            <a:pPr algn="ctr"/>
            <a:t>11</a:t>
          </a:fld>
          <a:endParaRPr lang="en-IN" sz="1400" b="1">
            <a:solidFill>
              <a:srgbClr val="FFC000"/>
            </a:solidFill>
            <a:latin typeface="Kulim park"/>
          </a:endParaRPr>
        </a:p>
      </xdr:txBody>
    </xdr:sp>
    <xdr:clientData/>
  </xdr:twoCellAnchor>
  <xdr:twoCellAnchor>
    <xdr:from>
      <xdr:col>2</xdr:col>
      <xdr:colOff>60960</xdr:colOff>
      <xdr:row>17</xdr:row>
      <xdr:rowOff>132706</xdr:rowOff>
    </xdr:from>
    <xdr:to>
      <xdr:col>3</xdr:col>
      <xdr:colOff>167640</xdr:colOff>
      <xdr:row>19</xdr:row>
      <xdr:rowOff>136222</xdr:rowOff>
    </xdr:to>
    <xdr:sp macro="" textlink="'Pivot Table'!T15">
      <xdr:nvSpPr>
        <xdr:cNvPr id="233" name="TextBox 232">
          <a:extLst>
            <a:ext uri="{FF2B5EF4-FFF2-40B4-BE49-F238E27FC236}">
              <a16:creationId xmlns:a16="http://schemas.microsoft.com/office/drawing/2014/main" id="{10F5CAB5-A843-C453-B65D-661162DC4DA0}"/>
            </a:ext>
          </a:extLst>
        </xdr:cNvPr>
        <xdr:cNvSpPr txBox="1"/>
      </xdr:nvSpPr>
      <xdr:spPr>
        <a:xfrm>
          <a:off x="1280160" y="3272146"/>
          <a:ext cx="716280" cy="369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7413A3E-49E3-45F2-9021-0C8C5A8126E6}" type="TxLink">
            <a:rPr lang="en-US" sz="1400" b="1" i="0" u="none" strike="noStrike">
              <a:solidFill>
                <a:srgbClr val="FFC000"/>
              </a:solidFill>
              <a:effectLst/>
              <a:latin typeface="Aptos Narrow"/>
            </a:rPr>
            <a:pPr algn="ctr"/>
            <a:t>7</a:t>
          </a:fld>
          <a:endParaRPr lang="en-IN" sz="1400" b="1">
            <a:solidFill>
              <a:srgbClr val="FFC000"/>
            </a:solidFill>
            <a:latin typeface="Kulim park"/>
          </a:endParaRPr>
        </a:p>
      </xdr:txBody>
    </xdr:sp>
    <xdr:clientData/>
  </xdr:twoCellAnchor>
  <xdr:twoCellAnchor>
    <xdr:from>
      <xdr:col>2</xdr:col>
      <xdr:colOff>60960</xdr:colOff>
      <xdr:row>19</xdr:row>
      <xdr:rowOff>96189</xdr:rowOff>
    </xdr:from>
    <xdr:to>
      <xdr:col>3</xdr:col>
      <xdr:colOff>167640</xdr:colOff>
      <xdr:row>21</xdr:row>
      <xdr:rowOff>99705</xdr:rowOff>
    </xdr:to>
    <xdr:sp macro="" textlink="'Pivot Table'!T16">
      <xdr:nvSpPr>
        <xdr:cNvPr id="234" name="TextBox 233">
          <a:extLst>
            <a:ext uri="{FF2B5EF4-FFF2-40B4-BE49-F238E27FC236}">
              <a16:creationId xmlns:a16="http://schemas.microsoft.com/office/drawing/2014/main" id="{C2E5F32C-E108-7B0C-BD49-8D787105CCC2}"/>
            </a:ext>
          </a:extLst>
        </xdr:cNvPr>
        <xdr:cNvSpPr txBox="1"/>
      </xdr:nvSpPr>
      <xdr:spPr>
        <a:xfrm>
          <a:off x="1280160" y="3601389"/>
          <a:ext cx="716280" cy="369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E499B18-3658-4FD6-91D4-76A6C29911CA}" type="TxLink">
            <a:rPr lang="en-US" sz="1400" b="1" i="0" u="none" strike="noStrike">
              <a:solidFill>
                <a:srgbClr val="FFC000"/>
              </a:solidFill>
              <a:latin typeface="Aptos Narrow"/>
            </a:rPr>
            <a:pPr algn="ctr"/>
            <a:t>11</a:t>
          </a:fld>
          <a:endParaRPr lang="en-IN" sz="1400" b="1">
            <a:solidFill>
              <a:srgbClr val="FFC000"/>
            </a:solidFill>
            <a:latin typeface="Kulim park"/>
          </a:endParaRPr>
        </a:p>
      </xdr:txBody>
    </xdr:sp>
    <xdr:clientData/>
  </xdr:twoCellAnchor>
  <xdr:twoCellAnchor>
    <xdr:from>
      <xdr:col>2</xdr:col>
      <xdr:colOff>76200</xdr:colOff>
      <xdr:row>21</xdr:row>
      <xdr:rowOff>59673</xdr:rowOff>
    </xdr:from>
    <xdr:to>
      <xdr:col>3</xdr:col>
      <xdr:colOff>167640</xdr:colOff>
      <xdr:row>23</xdr:row>
      <xdr:rowOff>63189</xdr:rowOff>
    </xdr:to>
    <xdr:sp macro="" textlink="'Pivot Table'!T17">
      <xdr:nvSpPr>
        <xdr:cNvPr id="235" name="TextBox 234">
          <a:extLst>
            <a:ext uri="{FF2B5EF4-FFF2-40B4-BE49-F238E27FC236}">
              <a16:creationId xmlns:a16="http://schemas.microsoft.com/office/drawing/2014/main" id="{0AA70DB7-024D-E9F1-1779-6C71D5521D7B}"/>
            </a:ext>
          </a:extLst>
        </xdr:cNvPr>
        <xdr:cNvSpPr txBox="1"/>
      </xdr:nvSpPr>
      <xdr:spPr>
        <a:xfrm>
          <a:off x="1295400" y="3930633"/>
          <a:ext cx="701040" cy="369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CAF76FE-88A6-4699-BFB0-3593A8B43F26}" type="TxLink">
            <a:rPr lang="en-US" sz="1400" b="1" i="0" u="none" strike="noStrike">
              <a:solidFill>
                <a:srgbClr val="FFC000"/>
              </a:solidFill>
              <a:effectLst/>
              <a:latin typeface="Aptos Narrow"/>
            </a:rPr>
            <a:pPr algn="ctr"/>
            <a:t>9</a:t>
          </a:fld>
          <a:endParaRPr lang="en-IN" sz="1400" b="1">
            <a:solidFill>
              <a:srgbClr val="FFC000"/>
            </a:solidFill>
            <a:latin typeface="Kulim park"/>
          </a:endParaRPr>
        </a:p>
      </xdr:txBody>
    </xdr:sp>
    <xdr:clientData/>
  </xdr:twoCellAnchor>
  <xdr:twoCellAnchor>
    <xdr:from>
      <xdr:col>0</xdr:col>
      <xdr:colOff>312420</xdr:colOff>
      <xdr:row>10</xdr:row>
      <xdr:rowOff>175260</xdr:rowOff>
    </xdr:from>
    <xdr:to>
      <xdr:col>2</xdr:col>
      <xdr:colOff>335280</xdr:colOff>
      <xdr:row>14</xdr:row>
      <xdr:rowOff>76200</xdr:rowOff>
    </xdr:to>
    <xdr:sp macro="" textlink="">
      <xdr:nvSpPr>
        <xdr:cNvPr id="247" name="TextBox 246">
          <a:extLst>
            <a:ext uri="{FF2B5EF4-FFF2-40B4-BE49-F238E27FC236}">
              <a16:creationId xmlns:a16="http://schemas.microsoft.com/office/drawing/2014/main" id="{D2AB4DEA-E446-5379-D8C0-13EE1319D45E}"/>
            </a:ext>
          </a:extLst>
        </xdr:cNvPr>
        <xdr:cNvSpPr txBox="1"/>
      </xdr:nvSpPr>
      <xdr:spPr>
        <a:xfrm>
          <a:off x="312420" y="2034540"/>
          <a:ext cx="1242060" cy="632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500" b="1" i="0" u="none" strike="noStrike">
              <a:solidFill>
                <a:srgbClr val="FFC000"/>
              </a:solidFill>
              <a:effectLst/>
              <a:latin typeface="+mn-lt"/>
              <a:ea typeface="+mn-ea"/>
              <a:cs typeface="+mn-cs"/>
            </a:rPr>
            <a:t>Skill BreakDown</a:t>
          </a:r>
          <a:r>
            <a:rPr lang="en-IN" sz="1500" b="1">
              <a:solidFill>
                <a:srgbClr val="FFC000"/>
              </a:solidFill>
              <a:effectLst/>
            </a:rPr>
            <a:t> </a:t>
          </a:r>
          <a:endParaRPr lang="en-IN" sz="1500" b="1">
            <a:solidFill>
              <a:srgbClr val="FFC000"/>
            </a:solidFill>
            <a:latin typeface="Kulim park"/>
          </a:endParaRPr>
        </a:p>
      </xdr:txBody>
    </xdr:sp>
    <xdr:clientData/>
  </xdr:twoCellAnchor>
  <xdr:twoCellAnchor editAs="oneCell">
    <xdr:from>
      <xdr:col>1</xdr:col>
      <xdr:colOff>236220</xdr:colOff>
      <xdr:row>8</xdr:row>
      <xdr:rowOff>7620</xdr:rowOff>
    </xdr:from>
    <xdr:to>
      <xdr:col>2</xdr:col>
      <xdr:colOff>396240</xdr:colOff>
      <xdr:row>12</xdr:row>
      <xdr:rowOff>45720</xdr:rowOff>
    </xdr:to>
    <xdr:pic>
      <xdr:nvPicPr>
        <xdr:cNvPr id="250" name="Graphic 249" descr="Customer review with solid fill">
          <a:extLst>
            <a:ext uri="{FF2B5EF4-FFF2-40B4-BE49-F238E27FC236}">
              <a16:creationId xmlns:a16="http://schemas.microsoft.com/office/drawing/2014/main" id="{E9B5BEC7-5DF8-D114-3F71-493C601044C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45820" y="1501140"/>
          <a:ext cx="769620" cy="769620"/>
        </a:xfrm>
        <a:prstGeom prst="rect">
          <a:avLst/>
        </a:prstGeom>
      </xdr:spPr>
    </xdr:pic>
    <xdr:clientData/>
  </xdr:twoCellAnchor>
  <xdr:twoCellAnchor>
    <xdr:from>
      <xdr:col>3</xdr:col>
      <xdr:colOff>541020</xdr:colOff>
      <xdr:row>11</xdr:row>
      <xdr:rowOff>45720</xdr:rowOff>
    </xdr:from>
    <xdr:to>
      <xdr:col>6</xdr:col>
      <xdr:colOff>7620</xdr:colOff>
      <xdr:row>12</xdr:row>
      <xdr:rowOff>137160</xdr:rowOff>
    </xdr:to>
    <xdr:sp macro="" textlink="">
      <xdr:nvSpPr>
        <xdr:cNvPr id="251" name="TextBox 250">
          <a:extLst>
            <a:ext uri="{FF2B5EF4-FFF2-40B4-BE49-F238E27FC236}">
              <a16:creationId xmlns:a16="http://schemas.microsoft.com/office/drawing/2014/main" id="{1022F033-34AF-8231-F098-AC5A60031BF1}"/>
            </a:ext>
          </a:extLst>
        </xdr:cNvPr>
        <xdr:cNvSpPr txBox="1"/>
      </xdr:nvSpPr>
      <xdr:spPr>
        <a:xfrm>
          <a:off x="2369820" y="2087880"/>
          <a:ext cx="129540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1" i="0" u="none" strike="noStrike">
              <a:solidFill>
                <a:schemeClr val="bg2">
                  <a:lumMod val="75000"/>
                </a:schemeClr>
              </a:solidFill>
              <a:effectLst/>
              <a:latin typeface="+mn-lt"/>
              <a:ea typeface="+mn-ea"/>
              <a:cs typeface="+mn-cs"/>
            </a:rPr>
            <a:t>Total Employee</a:t>
          </a:r>
          <a:endParaRPr lang="en-IN" sz="1100" b="1">
            <a:solidFill>
              <a:schemeClr val="bg2">
                <a:lumMod val="75000"/>
              </a:schemeClr>
            </a:solidFill>
            <a:latin typeface="Kulim park"/>
          </a:endParaRPr>
        </a:p>
      </xdr:txBody>
    </xdr:sp>
    <xdr:clientData/>
  </xdr:twoCellAnchor>
  <xdr:twoCellAnchor>
    <xdr:from>
      <xdr:col>4</xdr:col>
      <xdr:colOff>83820</xdr:colOff>
      <xdr:row>9</xdr:row>
      <xdr:rowOff>15240</xdr:rowOff>
    </xdr:from>
    <xdr:to>
      <xdr:col>5</xdr:col>
      <xdr:colOff>342900</xdr:colOff>
      <xdr:row>11</xdr:row>
      <xdr:rowOff>60960</xdr:rowOff>
    </xdr:to>
    <xdr:sp macro="" textlink="'Pivot Table'!B15">
      <xdr:nvSpPr>
        <xdr:cNvPr id="252" name="TextBox 251">
          <a:extLst>
            <a:ext uri="{FF2B5EF4-FFF2-40B4-BE49-F238E27FC236}">
              <a16:creationId xmlns:a16="http://schemas.microsoft.com/office/drawing/2014/main" id="{03105A54-834D-7A62-D21F-3DFAACAB1209}"/>
            </a:ext>
          </a:extLst>
        </xdr:cNvPr>
        <xdr:cNvSpPr txBox="1"/>
      </xdr:nvSpPr>
      <xdr:spPr>
        <a:xfrm>
          <a:off x="2522220" y="1691640"/>
          <a:ext cx="868680" cy="411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57B9BF6-279B-45A6-B478-B50B0A549A41}" type="TxLink">
            <a:rPr lang="en-US" sz="3600" b="1" i="0" u="none" strike="noStrike">
              <a:solidFill>
                <a:schemeClr val="bg1"/>
              </a:solidFill>
              <a:latin typeface="Kulim Park"/>
            </a:rPr>
            <a:pPr algn="ctr"/>
            <a:t>50</a:t>
          </a:fld>
          <a:endParaRPr lang="en-IN" sz="3600" b="1">
            <a:solidFill>
              <a:schemeClr val="bg1"/>
            </a:solidFill>
            <a:latin typeface="Kulim park"/>
          </a:endParaRPr>
        </a:p>
      </xdr:txBody>
    </xdr:sp>
    <xdr:clientData/>
  </xdr:twoCellAnchor>
  <xdr:twoCellAnchor>
    <xdr:from>
      <xdr:col>4</xdr:col>
      <xdr:colOff>45720</xdr:colOff>
      <xdr:row>7</xdr:row>
      <xdr:rowOff>152400</xdr:rowOff>
    </xdr:from>
    <xdr:to>
      <xdr:col>6</xdr:col>
      <xdr:colOff>182880</xdr:colOff>
      <xdr:row>9</xdr:row>
      <xdr:rowOff>60960</xdr:rowOff>
    </xdr:to>
    <xdr:sp macro="" textlink="">
      <xdr:nvSpPr>
        <xdr:cNvPr id="255" name="TextBox 254">
          <a:extLst>
            <a:ext uri="{FF2B5EF4-FFF2-40B4-BE49-F238E27FC236}">
              <a16:creationId xmlns:a16="http://schemas.microsoft.com/office/drawing/2014/main" id="{D7E14A57-8662-6261-4A3B-D24DC16155B2}"/>
            </a:ext>
          </a:extLst>
        </xdr:cNvPr>
        <xdr:cNvSpPr txBox="1"/>
      </xdr:nvSpPr>
      <xdr:spPr>
        <a:xfrm>
          <a:off x="2484120" y="1463040"/>
          <a:ext cx="13563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b="1" i="0" u="none" strike="noStrike">
              <a:solidFill>
                <a:srgbClr val="FFC000"/>
              </a:solidFill>
              <a:effectLst/>
              <a:latin typeface="+mn-lt"/>
              <a:ea typeface="+mn-ea"/>
              <a:cs typeface="+mn-cs"/>
            </a:rPr>
            <a:t>Employee Number</a:t>
          </a:r>
          <a:endParaRPr lang="en-IN" sz="1100" b="1">
            <a:solidFill>
              <a:srgbClr val="FFC000"/>
            </a:solidFill>
            <a:latin typeface="Kulim park"/>
          </a:endParaRPr>
        </a:p>
      </xdr:txBody>
    </xdr:sp>
    <xdr:clientData/>
  </xdr:twoCellAnchor>
  <xdr:twoCellAnchor editAs="oneCell">
    <xdr:from>
      <xdr:col>6</xdr:col>
      <xdr:colOff>68580</xdr:colOff>
      <xdr:row>7</xdr:row>
      <xdr:rowOff>100080</xdr:rowOff>
    </xdr:from>
    <xdr:to>
      <xdr:col>7</xdr:col>
      <xdr:colOff>373380</xdr:colOff>
      <xdr:row>12</xdr:row>
      <xdr:rowOff>100080</xdr:rowOff>
    </xdr:to>
    <xdr:pic>
      <xdr:nvPicPr>
        <xdr:cNvPr id="258" name="Graphic 257" descr="Group brainstorm with solid fill">
          <a:extLst>
            <a:ext uri="{FF2B5EF4-FFF2-40B4-BE49-F238E27FC236}">
              <a16:creationId xmlns:a16="http://schemas.microsoft.com/office/drawing/2014/main" id="{09F7B495-DD91-45DB-9E1E-EAF8CAB7543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726180" y="1410720"/>
          <a:ext cx="914400" cy="914400"/>
        </a:xfrm>
        <a:prstGeom prst="rect">
          <a:avLst/>
        </a:prstGeom>
      </xdr:spPr>
    </xdr:pic>
    <xdr:clientData/>
  </xdr:twoCellAnchor>
  <xdr:twoCellAnchor>
    <xdr:from>
      <xdr:col>3</xdr:col>
      <xdr:colOff>533400</xdr:colOff>
      <xdr:row>13</xdr:row>
      <xdr:rowOff>84840</xdr:rowOff>
    </xdr:from>
    <xdr:to>
      <xdr:col>5</xdr:col>
      <xdr:colOff>198120</xdr:colOff>
      <xdr:row>15</xdr:row>
      <xdr:rowOff>130560</xdr:rowOff>
    </xdr:to>
    <xdr:sp macro="" textlink="'Pivot Table'!B15">
      <xdr:nvSpPr>
        <xdr:cNvPr id="264" name="TextBox 263">
          <a:extLst>
            <a:ext uri="{FF2B5EF4-FFF2-40B4-BE49-F238E27FC236}">
              <a16:creationId xmlns:a16="http://schemas.microsoft.com/office/drawing/2014/main" id="{5882BC54-B43C-40AA-BED2-3B0D48414DC1}"/>
            </a:ext>
          </a:extLst>
        </xdr:cNvPr>
        <xdr:cNvSpPr txBox="1"/>
      </xdr:nvSpPr>
      <xdr:spPr>
        <a:xfrm>
          <a:off x="2362200" y="2492760"/>
          <a:ext cx="883920" cy="411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rgbClr val="FFC000"/>
              </a:solidFill>
              <a:latin typeface="Kulim park"/>
            </a:rPr>
            <a:t>Male</a:t>
          </a:r>
        </a:p>
      </xdr:txBody>
    </xdr:sp>
    <xdr:clientData/>
  </xdr:twoCellAnchor>
  <xdr:twoCellAnchor>
    <xdr:from>
      <xdr:col>6</xdr:col>
      <xdr:colOff>0</xdr:colOff>
      <xdr:row>13</xdr:row>
      <xdr:rowOff>84840</xdr:rowOff>
    </xdr:from>
    <xdr:to>
      <xdr:col>7</xdr:col>
      <xdr:colOff>274320</xdr:colOff>
      <xdr:row>15</xdr:row>
      <xdr:rowOff>130560</xdr:rowOff>
    </xdr:to>
    <xdr:sp macro="" textlink="'Pivot Table'!B15">
      <xdr:nvSpPr>
        <xdr:cNvPr id="265" name="TextBox 264">
          <a:extLst>
            <a:ext uri="{FF2B5EF4-FFF2-40B4-BE49-F238E27FC236}">
              <a16:creationId xmlns:a16="http://schemas.microsoft.com/office/drawing/2014/main" id="{FDB47D77-715A-48B6-E703-BB27FC9384A5}"/>
            </a:ext>
          </a:extLst>
        </xdr:cNvPr>
        <xdr:cNvSpPr txBox="1"/>
      </xdr:nvSpPr>
      <xdr:spPr>
        <a:xfrm>
          <a:off x="3657600" y="2492760"/>
          <a:ext cx="883920" cy="411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rgbClr val="FFC000"/>
              </a:solidFill>
              <a:latin typeface="Kulim park"/>
            </a:rPr>
            <a:t>Female</a:t>
          </a:r>
        </a:p>
      </xdr:txBody>
    </xdr:sp>
    <xdr:clientData/>
  </xdr:twoCellAnchor>
  <xdr:twoCellAnchor>
    <xdr:from>
      <xdr:col>3</xdr:col>
      <xdr:colOff>502920</xdr:colOff>
      <xdr:row>15</xdr:row>
      <xdr:rowOff>8640</xdr:rowOff>
    </xdr:from>
    <xdr:to>
      <xdr:col>5</xdr:col>
      <xdr:colOff>220980</xdr:colOff>
      <xdr:row>20</xdr:row>
      <xdr:rowOff>0</xdr:rowOff>
    </xdr:to>
    <xdr:graphicFrame macro="">
      <xdr:nvGraphicFramePr>
        <xdr:cNvPr id="266" name="Chart 265">
          <a:extLst>
            <a:ext uri="{FF2B5EF4-FFF2-40B4-BE49-F238E27FC236}">
              <a16:creationId xmlns:a16="http://schemas.microsoft.com/office/drawing/2014/main" id="{967C045C-7CFA-4377-BC60-6F4C2A5E8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396240</xdr:colOff>
      <xdr:row>14</xdr:row>
      <xdr:rowOff>92460</xdr:rowOff>
    </xdr:from>
    <xdr:to>
      <xdr:col>7</xdr:col>
      <xdr:colOff>510540</xdr:colOff>
      <xdr:row>20</xdr:row>
      <xdr:rowOff>30480</xdr:rowOff>
    </xdr:to>
    <xdr:graphicFrame macro="">
      <xdr:nvGraphicFramePr>
        <xdr:cNvPr id="267" name="Chart 266">
          <a:extLst>
            <a:ext uri="{FF2B5EF4-FFF2-40B4-BE49-F238E27FC236}">
              <a16:creationId xmlns:a16="http://schemas.microsoft.com/office/drawing/2014/main" id="{883884E3-5119-45EE-A0F7-AE91FA22F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144780</xdr:colOff>
      <xdr:row>16</xdr:row>
      <xdr:rowOff>30480</xdr:rowOff>
    </xdr:from>
    <xdr:to>
      <xdr:col>7</xdr:col>
      <xdr:colOff>144780</xdr:colOff>
      <xdr:row>18</xdr:row>
      <xdr:rowOff>76200</xdr:rowOff>
    </xdr:to>
    <xdr:sp macro="" textlink="'Pivot Table'!I20">
      <xdr:nvSpPr>
        <xdr:cNvPr id="270" name="TextBox 269">
          <a:extLst>
            <a:ext uri="{FF2B5EF4-FFF2-40B4-BE49-F238E27FC236}">
              <a16:creationId xmlns:a16="http://schemas.microsoft.com/office/drawing/2014/main" id="{354F3549-7F3F-9F8B-8D35-BBD6BD006389}"/>
            </a:ext>
          </a:extLst>
        </xdr:cNvPr>
        <xdr:cNvSpPr txBox="1"/>
      </xdr:nvSpPr>
      <xdr:spPr>
        <a:xfrm>
          <a:off x="3802380" y="2987040"/>
          <a:ext cx="609600" cy="411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82AA15A-5412-4FC3-BC19-FF4329E61413}" type="TxLink">
            <a:rPr lang="en-US" sz="1100" b="1" i="0" u="none" strike="noStrike">
              <a:solidFill>
                <a:schemeClr val="bg1">
                  <a:lumMod val="95000"/>
                </a:schemeClr>
              </a:solidFill>
              <a:latin typeface="Aptos Narrow"/>
            </a:rPr>
            <a:pPr algn="ctr"/>
            <a:t>48%</a:t>
          </a:fld>
          <a:endParaRPr lang="en-IN" sz="1200" b="1">
            <a:solidFill>
              <a:schemeClr val="bg1">
                <a:lumMod val="95000"/>
              </a:schemeClr>
            </a:solidFill>
            <a:latin typeface="Kulim park"/>
          </a:endParaRPr>
        </a:p>
      </xdr:txBody>
    </xdr:sp>
    <xdr:clientData/>
  </xdr:twoCellAnchor>
  <xdr:twoCellAnchor>
    <xdr:from>
      <xdr:col>8</xdr:col>
      <xdr:colOff>60960</xdr:colOff>
      <xdr:row>9</xdr:row>
      <xdr:rowOff>114300</xdr:rowOff>
    </xdr:from>
    <xdr:to>
      <xdr:col>12</xdr:col>
      <xdr:colOff>45720</xdr:colOff>
      <xdr:row>17</xdr:row>
      <xdr:rowOff>152400</xdr:rowOff>
    </xdr:to>
    <xdr:graphicFrame macro="">
      <xdr:nvGraphicFramePr>
        <xdr:cNvPr id="11" name="Chart 10">
          <a:extLst>
            <a:ext uri="{FF2B5EF4-FFF2-40B4-BE49-F238E27FC236}">
              <a16:creationId xmlns:a16="http://schemas.microsoft.com/office/drawing/2014/main" id="{B0A7E5A2-8BA3-4588-A589-AA37692B0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190500</xdr:colOff>
      <xdr:row>17</xdr:row>
      <xdr:rowOff>96340</xdr:rowOff>
    </xdr:from>
    <xdr:to>
      <xdr:col>8</xdr:col>
      <xdr:colOff>298500</xdr:colOff>
      <xdr:row>18</xdr:row>
      <xdr:rowOff>21460</xdr:rowOff>
    </xdr:to>
    <xdr:sp macro="" textlink="">
      <xdr:nvSpPr>
        <xdr:cNvPr id="15" name="Flowchart: Connector 14">
          <a:extLst>
            <a:ext uri="{FF2B5EF4-FFF2-40B4-BE49-F238E27FC236}">
              <a16:creationId xmlns:a16="http://schemas.microsoft.com/office/drawing/2014/main" id="{AD5B9618-2560-44BB-9B76-7F33627F7DE7}"/>
            </a:ext>
          </a:extLst>
        </xdr:cNvPr>
        <xdr:cNvSpPr/>
      </xdr:nvSpPr>
      <xdr:spPr>
        <a:xfrm>
          <a:off x="5067300" y="3235780"/>
          <a:ext cx="108000" cy="108000"/>
        </a:xfrm>
        <a:prstGeom prst="flowChartConnector">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243840</xdr:colOff>
      <xdr:row>16</xdr:row>
      <xdr:rowOff>160020</xdr:rowOff>
    </xdr:from>
    <xdr:to>
      <xdr:col>10</xdr:col>
      <xdr:colOff>434340</xdr:colOff>
      <xdr:row>18</xdr:row>
      <xdr:rowOff>120350</xdr:rowOff>
    </xdr:to>
    <xdr:sp macro="" textlink="">
      <xdr:nvSpPr>
        <xdr:cNvPr id="19" name="Rectangle: Rounded Corners 18">
          <a:extLst>
            <a:ext uri="{FF2B5EF4-FFF2-40B4-BE49-F238E27FC236}">
              <a16:creationId xmlns:a16="http://schemas.microsoft.com/office/drawing/2014/main" id="{8B873063-B17A-9676-780E-D072A94EE28C}"/>
            </a:ext>
          </a:extLst>
        </xdr:cNvPr>
        <xdr:cNvSpPr/>
      </xdr:nvSpPr>
      <xdr:spPr>
        <a:xfrm>
          <a:off x="5730240" y="3116580"/>
          <a:ext cx="800100" cy="326090"/>
        </a:xfrm>
        <a:prstGeom prst="roundRect">
          <a:avLst>
            <a:gd name="adj" fmla="val 4690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95000"/>
                </a:schemeClr>
              </a:solidFill>
            </a:rPr>
            <a:t>Manager</a:t>
          </a:r>
        </a:p>
      </xdr:txBody>
    </xdr:sp>
    <xdr:clientData/>
  </xdr:twoCellAnchor>
  <xdr:twoCellAnchor>
    <xdr:from>
      <xdr:col>8</xdr:col>
      <xdr:colOff>236220</xdr:colOff>
      <xdr:row>18</xdr:row>
      <xdr:rowOff>15240</xdr:rowOff>
    </xdr:from>
    <xdr:to>
      <xdr:col>10</xdr:col>
      <xdr:colOff>60960</xdr:colOff>
      <xdr:row>19</xdr:row>
      <xdr:rowOff>158450</xdr:rowOff>
    </xdr:to>
    <xdr:sp macro="" textlink="">
      <xdr:nvSpPr>
        <xdr:cNvPr id="38" name="Rectangle: Rounded Corners 37">
          <a:extLst>
            <a:ext uri="{FF2B5EF4-FFF2-40B4-BE49-F238E27FC236}">
              <a16:creationId xmlns:a16="http://schemas.microsoft.com/office/drawing/2014/main" id="{7135BA56-3086-3BDD-8F8E-8CC63D592CEF}"/>
            </a:ext>
          </a:extLst>
        </xdr:cNvPr>
        <xdr:cNvSpPr/>
      </xdr:nvSpPr>
      <xdr:spPr>
        <a:xfrm>
          <a:off x="5113020" y="3337560"/>
          <a:ext cx="1043940" cy="326090"/>
        </a:xfrm>
        <a:prstGeom prst="roundRect">
          <a:avLst>
            <a:gd name="adj" fmla="val 4690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95000"/>
                </a:schemeClr>
              </a:solidFill>
            </a:rPr>
            <a:t>Developer</a:t>
          </a:r>
        </a:p>
      </xdr:txBody>
    </xdr:sp>
    <xdr:clientData/>
  </xdr:twoCellAnchor>
  <xdr:twoCellAnchor>
    <xdr:from>
      <xdr:col>9</xdr:col>
      <xdr:colOff>205740</xdr:colOff>
      <xdr:row>17</xdr:row>
      <xdr:rowOff>88720</xdr:rowOff>
    </xdr:from>
    <xdr:to>
      <xdr:col>9</xdr:col>
      <xdr:colOff>313740</xdr:colOff>
      <xdr:row>18</xdr:row>
      <xdr:rowOff>13840</xdr:rowOff>
    </xdr:to>
    <xdr:sp macro="" textlink="">
      <xdr:nvSpPr>
        <xdr:cNvPr id="47" name="Flowchart: Connector 46">
          <a:extLst>
            <a:ext uri="{FF2B5EF4-FFF2-40B4-BE49-F238E27FC236}">
              <a16:creationId xmlns:a16="http://schemas.microsoft.com/office/drawing/2014/main" id="{A7E06775-005E-3826-116A-71546633AF93}"/>
            </a:ext>
          </a:extLst>
        </xdr:cNvPr>
        <xdr:cNvSpPr/>
      </xdr:nvSpPr>
      <xdr:spPr>
        <a:xfrm>
          <a:off x="5692140" y="3228160"/>
          <a:ext cx="108000" cy="108000"/>
        </a:xfrm>
        <a:prstGeom prst="flowChartConnector">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190500</xdr:colOff>
      <xdr:row>18</xdr:row>
      <xdr:rowOff>134440</xdr:rowOff>
    </xdr:from>
    <xdr:to>
      <xdr:col>8</xdr:col>
      <xdr:colOff>298500</xdr:colOff>
      <xdr:row>19</xdr:row>
      <xdr:rowOff>59560</xdr:rowOff>
    </xdr:to>
    <xdr:sp macro="" textlink="">
      <xdr:nvSpPr>
        <xdr:cNvPr id="49" name="Flowchart: Connector 48">
          <a:extLst>
            <a:ext uri="{FF2B5EF4-FFF2-40B4-BE49-F238E27FC236}">
              <a16:creationId xmlns:a16="http://schemas.microsoft.com/office/drawing/2014/main" id="{FC16D243-80DC-BEE2-1668-888A0E8E087D}"/>
            </a:ext>
          </a:extLst>
        </xdr:cNvPr>
        <xdr:cNvSpPr/>
      </xdr:nvSpPr>
      <xdr:spPr>
        <a:xfrm>
          <a:off x="5067300" y="3456760"/>
          <a:ext cx="108000" cy="108000"/>
        </a:xfrm>
        <a:prstGeom prst="flowChartConnector">
          <a:avLst/>
        </a:prstGeom>
        <a:solidFill>
          <a:srgbClr val="D4D45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312420</xdr:colOff>
      <xdr:row>17</xdr:row>
      <xdr:rowOff>96340</xdr:rowOff>
    </xdr:from>
    <xdr:to>
      <xdr:col>10</xdr:col>
      <xdr:colOff>420420</xdr:colOff>
      <xdr:row>18</xdr:row>
      <xdr:rowOff>21460</xdr:rowOff>
    </xdr:to>
    <xdr:sp macro="" textlink="">
      <xdr:nvSpPr>
        <xdr:cNvPr id="52" name="Flowchart: Connector 51">
          <a:extLst>
            <a:ext uri="{FF2B5EF4-FFF2-40B4-BE49-F238E27FC236}">
              <a16:creationId xmlns:a16="http://schemas.microsoft.com/office/drawing/2014/main" id="{9A558E31-1B43-4793-6447-9E72215A33D7}"/>
            </a:ext>
          </a:extLst>
        </xdr:cNvPr>
        <xdr:cNvSpPr/>
      </xdr:nvSpPr>
      <xdr:spPr>
        <a:xfrm>
          <a:off x="6408420" y="3235780"/>
          <a:ext cx="108000" cy="108000"/>
        </a:xfrm>
        <a:prstGeom prst="flowChartConnector">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373380</xdr:colOff>
      <xdr:row>17</xdr:row>
      <xdr:rowOff>22860</xdr:rowOff>
    </xdr:from>
    <xdr:ext cx="967740" cy="264560"/>
    <xdr:sp macro="" textlink="">
      <xdr:nvSpPr>
        <xdr:cNvPr id="59" name="TextBox 58">
          <a:extLst>
            <a:ext uri="{FF2B5EF4-FFF2-40B4-BE49-F238E27FC236}">
              <a16:creationId xmlns:a16="http://schemas.microsoft.com/office/drawing/2014/main" id="{EA14249A-5BA6-6544-1C56-C3D0280C05A8}"/>
            </a:ext>
          </a:extLst>
        </xdr:cNvPr>
        <xdr:cNvSpPr txBox="1"/>
      </xdr:nvSpPr>
      <xdr:spPr>
        <a:xfrm>
          <a:off x="6469380" y="3162300"/>
          <a:ext cx="9677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lumMod val="95000"/>
                </a:schemeClr>
              </a:solidFill>
            </a:rPr>
            <a:t>HR Specialist</a:t>
          </a:r>
        </a:p>
      </xdr:txBody>
    </xdr:sp>
    <xdr:clientData/>
  </xdr:oneCellAnchor>
  <xdr:oneCellAnchor>
    <xdr:from>
      <xdr:col>8</xdr:col>
      <xdr:colOff>30480</xdr:colOff>
      <xdr:row>7</xdr:row>
      <xdr:rowOff>83820</xdr:rowOff>
    </xdr:from>
    <xdr:ext cx="1402080" cy="213360"/>
    <xdr:sp macro="" textlink="">
      <xdr:nvSpPr>
        <xdr:cNvPr id="62" name="TextBox 61">
          <a:extLst>
            <a:ext uri="{FF2B5EF4-FFF2-40B4-BE49-F238E27FC236}">
              <a16:creationId xmlns:a16="http://schemas.microsoft.com/office/drawing/2014/main" id="{3E59E4A1-98D6-9B7C-AF0C-A6C1A1C40FEA}"/>
            </a:ext>
          </a:extLst>
        </xdr:cNvPr>
        <xdr:cNvSpPr txBox="1"/>
      </xdr:nvSpPr>
      <xdr:spPr>
        <a:xfrm>
          <a:off x="4907280" y="1394460"/>
          <a:ext cx="1402080" cy="213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rgbClr val="FFC000"/>
              </a:solidFill>
              <a:latin typeface="Kulim park"/>
            </a:rPr>
            <a:t>Leave Tracking</a:t>
          </a:r>
        </a:p>
      </xdr:txBody>
    </xdr:sp>
    <xdr:clientData/>
  </xdr:oneCellAnchor>
  <xdr:oneCellAnchor>
    <xdr:from>
      <xdr:col>8</xdr:col>
      <xdr:colOff>45720</xdr:colOff>
      <xdr:row>8</xdr:row>
      <xdr:rowOff>114300</xdr:rowOff>
    </xdr:from>
    <xdr:ext cx="1729740" cy="220980"/>
    <xdr:sp macro="" textlink="">
      <xdr:nvSpPr>
        <xdr:cNvPr id="129" name="TextBox 128">
          <a:extLst>
            <a:ext uri="{FF2B5EF4-FFF2-40B4-BE49-F238E27FC236}">
              <a16:creationId xmlns:a16="http://schemas.microsoft.com/office/drawing/2014/main" id="{122B6675-40B3-BDF5-7240-27826EC5DF81}"/>
            </a:ext>
          </a:extLst>
        </xdr:cNvPr>
        <xdr:cNvSpPr txBox="1"/>
      </xdr:nvSpPr>
      <xdr:spPr>
        <a:xfrm>
          <a:off x="4922520" y="1607820"/>
          <a:ext cx="172974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0">
              <a:solidFill>
                <a:schemeClr val="bg1">
                  <a:lumMod val="95000"/>
                </a:schemeClr>
              </a:solidFill>
              <a:latin typeface="Kulim park"/>
            </a:rPr>
            <a:t>Leave Taken by Job Title</a:t>
          </a:r>
        </a:p>
      </xdr:txBody>
    </xdr:sp>
    <xdr:clientData/>
  </xdr:oneCellAnchor>
  <xdr:twoCellAnchor>
    <xdr:from>
      <xdr:col>9</xdr:col>
      <xdr:colOff>449580</xdr:colOff>
      <xdr:row>18</xdr:row>
      <xdr:rowOff>15240</xdr:rowOff>
    </xdr:from>
    <xdr:to>
      <xdr:col>11</xdr:col>
      <xdr:colOff>274320</xdr:colOff>
      <xdr:row>19</xdr:row>
      <xdr:rowOff>158450</xdr:rowOff>
    </xdr:to>
    <xdr:sp macro="" textlink="">
      <xdr:nvSpPr>
        <xdr:cNvPr id="130" name="Rectangle: Rounded Corners 129">
          <a:extLst>
            <a:ext uri="{FF2B5EF4-FFF2-40B4-BE49-F238E27FC236}">
              <a16:creationId xmlns:a16="http://schemas.microsoft.com/office/drawing/2014/main" id="{BA476F82-634A-F6EB-139B-4247E546290D}"/>
            </a:ext>
          </a:extLst>
        </xdr:cNvPr>
        <xdr:cNvSpPr/>
      </xdr:nvSpPr>
      <xdr:spPr>
        <a:xfrm>
          <a:off x="5935980" y="3337560"/>
          <a:ext cx="1043940" cy="326090"/>
        </a:xfrm>
        <a:prstGeom prst="roundRect">
          <a:avLst>
            <a:gd name="adj" fmla="val 4690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95000"/>
                </a:schemeClr>
              </a:solidFill>
            </a:rPr>
            <a:t>Designer</a:t>
          </a:r>
        </a:p>
      </xdr:txBody>
    </xdr:sp>
    <xdr:clientData/>
  </xdr:twoCellAnchor>
  <xdr:twoCellAnchor>
    <xdr:from>
      <xdr:col>9</xdr:col>
      <xdr:colOff>419100</xdr:colOff>
      <xdr:row>18</xdr:row>
      <xdr:rowOff>134440</xdr:rowOff>
    </xdr:from>
    <xdr:to>
      <xdr:col>9</xdr:col>
      <xdr:colOff>527100</xdr:colOff>
      <xdr:row>19</xdr:row>
      <xdr:rowOff>59560</xdr:rowOff>
    </xdr:to>
    <xdr:sp macro="" textlink="">
      <xdr:nvSpPr>
        <xdr:cNvPr id="131" name="Flowchart: Connector 130">
          <a:extLst>
            <a:ext uri="{FF2B5EF4-FFF2-40B4-BE49-F238E27FC236}">
              <a16:creationId xmlns:a16="http://schemas.microsoft.com/office/drawing/2014/main" id="{48438A1F-DA99-A05B-73DB-18344E9B06C4}"/>
            </a:ext>
          </a:extLst>
        </xdr:cNvPr>
        <xdr:cNvSpPr/>
      </xdr:nvSpPr>
      <xdr:spPr>
        <a:xfrm>
          <a:off x="5905500" y="3456760"/>
          <a:ext cx="108000" cy="108000"/>
        </a:xfrm>
        <a:prstGeom prst="flowChartConnector">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266700</xdr:colOff>
      <xdr:row>12</xdr:row>
      <xdr:rowOff>114300</xdr:rowOff>
    </xdr:from>
    <xdr:to>
      <xdr:col>16</xdr:col>
      <xdr:colOff>472440</xdr:colOff>
      <xdr:row>19</xdr:row>
      <xdr:rowOff>53340</xdr:rowOff>
    </xdr:to>
    <xdr:graphicFrame macro="">
      <xdr:nvGraphicFramePr>
        <xdr:cNvPr id="14" name="Chart 13">
          <a:extLst>
            <a:ext uri="{FF2B5EF4-FFF2-40B4-BE49-F238E27FC236}">
              <a16:creationId xmlns:a16="http://schemas.microsoft.com/office/drawing/2014/main" id="{47FDECB4-70D5-4E67-947D-267458EEF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12</xdr:col>
      <xdr:colOff>38100</xdr:colOff>
      <xdr:row>10</xdr:row>
      <xdr:rowOff>121920</xdr:rowOff>
    </xdr:from>
    <xdr:ext cx="1280160" cy="182880"/>
    <xdr:sp macro="" textlink="">
      <xdr:nvSpPr>
        <xdr:cNvPr id="16" name="TextBox 15">
          <a:extLst>
            <a:ext uri="{FF2B5EF4-FFF2-40B4-BE49-F238E27FC236}">
              <a16:creationId xmlns:a16="http://schemas.microsoft.com/office/drawing/2014/main" id="{9F4A430A-6525-D02A-ED28-6FF0D623D05C}"/>
            </a:ext>
          </a:extLst>
        </xdr:cNvPr>
        <xdr:cNvSpPr txBox="1"/>
      </xdr:nvSpPr>
      <xdr:spPr>
        <a:xfrm>
          <a:off x="7353300" y="1981200"/>
          <a:ext cx="128016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rgbClr val="FFC000"/>
              </a:solidFill>
              <a:latin typeface="Kulim park"/>
            </a:rPr>
            <a:t>Region </a:t>
          </a:r>
        </a:p>
      </xdr:txBody>
    </xdr:sp>
    <xdr:clientData/>
  </xdr:oneCellAnchor>
  <xdr:oneCellAnchor>
    <xdr:from>
      <xdr:col>12</xdr:col>
      <xdr:colOff>236220</xdr:colOff>
      <xdr:row>11</xdr:row>
      <xdr:rowOff>99060</xdr:rowOff>
    </xdr:from>
    <xdr:ext cx="1729740" cy="220980"/>
    <xdr:sp macro="" textlink="">
      <xdr:nvSpPr>
        <xdr:cNvPr id="18" name="TextBox 17">
          <a:extLst>
            <a:ext uri="{FF2B5EF4-FFF2-40B4-BE49-F238E27FC236}">
              <a16:creationId xmlns:a16="http://schemas.microsoft.com/office/drawing/2014/main" id="{00BB5F44-D4DA-EFA9-26DA-85370395DA65}"/>
            </a:ext>
          </a:extLst>
        </xdr:cNvPr>
        <xdr:cNvSpPr txBox="1"/>
      </xdr:nvSpPr>
      <xdr:spPr>
        <a:xfrm>
          <a:off x="7551420" y="2141220"/>
          <a:ext cx="172974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solidFill>
                <a:schemeClr val="bg1">
                  <a:lumMod val="95000"/>
                </a:schemeClr>
              </a:solidFill>
              <a:effectLst/>
              <a:latin typeface="+mn-lt"/>
              <a:ea typeface="+mn-ea"/>
              <a:cs typeface="+mn-cs"/>
            </a:rPr>
            <a:t>Employee Per Persion</a:t>
          </a:r>
          <a:endParaRPr lang="en-IN" sz="1200" b="0">
            <a:solidFill>
              <a:schemeClr val="bg1">
                <a:lumMod val="95000"/>
              </a:schemeClr>
            </a:solidFill>
            <a:latin typeface="Kulim park"/>
          </a:endParaRPr>
        </a:p>
      </xdr:txBody>
    </xdr:sp>
    <xdr:clientData/>
  </xdr:oneCellAnchor>
  <xdr:oneCellAnchor>
    <xdr:from>
      <xdr:col>12</xdr:col>
      <xdr:colOff>114300</xdr:colOff>
      <xdr:row>2</xdr:row>
      <xdr:rowOff>45720</xdr:rowOff>
    </xdr:from>
    <xdr:ext cx="1851660" cy="213360"/>
    <xdr:sp macro="" textlink="">
      <xdr:nvSpPr>
        <xdr:cNvPr id="30" name="TextBox 29">
          <a:extLst>
            <a:ext uri="{FF2B5EF4-FFF2-40B4-BE49-F238E27FC236}">
              <a16:creationId xmlns:a16="http://schemas.microsoft.com/office/drawing/2014/main" id="{245E81E6-9562-01D9-9BD4-99B06161097E}"/>
            </a:ext>
          </a:extLst>
        </xdr:cNvPr>
        <xdr:cNvSpPr txBox="1"/>
      </xdr:nvSpPr>
      <xdr:spPr>
        <a:xfrm>
          <a:off x="7429500" y="441960"/>
          <a:ext cx="1851660" cy="213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baseline="0">
              <a:solidFill>
                <a:srgbClr val="FFC000"/>
              </a:solidFill>
              <a:latin typeface="Kulim park"/>
            </a:rPr>
            <a:t> Performance Rating</a:t>
          </a:r>
          <a:endParaRPr lang="en-IN" sz="1200" b="1">
            <a:solidFill>
              <a:srgbClr val="FFC000"/>
            </a:solidFill>
            <a:latin typeface="Kulim park"/>
          </a:endParaRPr>
        </a:p>
      </xdr:txBody>
    </xdr:sp>
    <xdr:clientData/>
  </xdr:oneCellAnchor>
  <xdr:oneCellAnchor>
    <xdr:from>
      <xdr:col>12</xdr:col>
      <xdr:colOff>220980</xdr:colOff>
      <xdr:row>3</xdr:row>
      <xdr:rowOff>83820</xdr:rowOff>
    </xdr:from>
    <xdr:ext cx="2682240" cy="220980"/>
    <xdr:sp macro="" textlink="">
      <xdr:nvSpPr>
        <xdr:cNvPr id="43" name="TextBox 42">
          <a:extLst>
            <a:ext uri="{FF2B5EF4-FFF2-40B4-BE49-F238E27FC236}">
              <a16:creationId xmlns:a16="http://schemas.microsoft.com/office/drawing/2014/main" id="{E8CDDABB-3180-D57E-3E31-1D09CEFA3EF8}"/>
            </a:ext>
          </a:extLst>
        </xdr:cNvPr>
        <xdr:cNvSpPr txBox="1"/>
      </xdr:nvSpPr>
      <xdr:spPr>
        <a:xfrm>
          <a:off x="7536180" y="662940"/>
          <a:ext cx="268224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1100" b="1">
              <a:solidFill>
                <a:schemeClr val="bg1">
                  <a:lumMod val="85000"/>
                </a:schemeClr>
              </a:solidFill>
              <a:effectLst/>
              <a:latin typeface="+mn-lt"/>
              <a:ea typeface="+mn-ea"/>
              <a:cs typeface="+mn-cs"/>
            </a:rPr>
            <a:t>Total</a:t>
          </a:r>
          <a:r>
            <a:rPr lang="en-IN" sz="1100" b="1" baseline="0">
              <a:solidFill>
                <a:schemeClr val="bg1">
                  <a:lumMod val="85000"/>
                </a:schemeClr>
              </a:solidFill>
              <a:effectLst/>
              <a:latin typeface="+mn-lt"/>
              <a:ea typeface="+mn-ea"/>
              <a:cs typeface="+mn-cs"/>
            </a:rPr>
            <a:t> Average Performance Rating</a:t>
          </a:r>
          <a:endParaRPr lang="en-IN">
            <a:solidFill>
              <a:schemeClr val="bg1">
                <a:lumMod val="85000"/>
              </a:schemeClr>
            </a:solidFill>
            <a:effectLst/>
          </a:endParaRPr>
        </a:p>
      </xdr:txBody>
    </xdr:sp>
    <xdr:clientData/>
  </xdr:oneCellAnchor>
  <xdr:oneCellAnchor>
    <xdr:from>
      <xdr:col>12</xdr:col>
      <xdr:colOff>320040</xdr:colOff>
      <xdr:row>4</xdr:row>
      <xdr:rowOff>91440</xdr:rowOff>
    </xdr:from>
    <xdr:ext cx="1028700" cy="593239"/>
    <xdr:sp macro="" textlink="'Pivot Table'!W19">
      <xdr:nvSpPr>
        <xdr:cNvPr id="45" name="TextBox 44">
          <a:extLst>
            <a:ext uri="{FF2B5EF4-FFF2-40B4-BE49-F238E27FC236}">
              <a16:creationId xmlns:a16="http://schemas.microsoft.com/office/drawing/2014/main" id="{9EBE1D20-3C02-F21F-98B5-D5AEA52AC2D4}"/>
            </a:ext>
          </a:extLst>
        </xdr:cNvPr>
        <xdr:cNvSpPr txBox="1"/>
      </xdr:nvSpPr>
      <xdr:spPr>
        <a:xfrm>
          <a:off x="7635240" y="853440"/>
          <a:ext cx="1028700"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CF63E67-A8D5-4349-A94D-8F7310AAE54D}" type="TxLink">
            <a:rPr lang="en-US" sz="3200" b="1" i="0" u="none" strike="noStrike">
              <a:solidFill>
                <a:schemeClr val="bg1">
                  <a:lumMod val="85000"/>
                </a:schemeClr>
              </a:solidFill>
              <a:latin typeface="Aptos Narrow"/>
            </a:rPr>
            <a:t>26.2</a:t>
          </a:fld>
          <a:endParaRPr lang="en-IN" sz="3200">
            <a:solidFill>
              <a:schemeClr val="bg1">
                <a:lumMod val="85000"/>
              </a:schemeClr>
            </a:solidFill>
          </a:endParaRPr>
        </a:p>
      </xdr:txBody>
    </xdr:sp>
    <xdr:clientData/>
  </xdr:oneCellAnchor>
  <xdr:oneCellAnchor>
    <xdr:from>
      <xdr:col>11</xdr:col>
      <xdr:colOff>533400</xdr:colOff>
      <xdr:row>7</xdr:row>
      <xdr:rowOff>83820</xdr:rowOff>
    </xdr:from>
    <xdr:ext cx="1851660" cy="213360"/>
    <xdr:sp macro="" textlink="">
      <xdr:nvSpPr>
        <xdr:cNvPr id="48" name="TextBox 47">
          <a:extLst>
            <a:ext uri="{FF2B5EF4-FFF2-40B4-BE49-F238E27FC236}">
              <a16:creationId xmlns:a16="http://schemas.microsoft.com/office/drawing/2014/main" id="{822F18CD-8ABF-2B69-82DB-2C85D4B8BFD9}"/>
            </a:ext>
          </a:extLst>
        </xdr:cNvPr>
        <xdr:cNvSpPr txBox="1"/>
      </xdr:nvSpPr>
      <xdr:spPr>
        <a:xfrm>
          <a:off x="7239000" y="1394460"/>
          <a:ext cx="1851660" cy="213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0" baseline="0">
              <a:solidFill>
                <a:schemeClr val="bg1">
                  <a:lumMod val="85000"/>
                </a:schemeClr>
              </a:solidFill>
              <a:latin typeface="Kulim park"/>
            </a:rPr>
            <a:t> Average  Rating</a:t>
          </a:r>
          <a:endParaRPr lang="en-IN" sz="1200" b="0">
            <a:solidFill>
              <a:schemeClr val="bg1">
                <a:lumMod val="85000"/>
              </a:schemeClr>
            </a:solidFill>
            <a:latin typeface="Kulim park"/>
          </a:endParaRPr>
        </a:p>
      </xdr:txBody>
    </xdr:sp>
    <xdr:clientData/>
  </xdr:oneCellAnchor>
  <xdr:twoCellAnchor editAs="oneCell">
    <xdr:from>
      <xdr:col>14</xdr:col>
      <xdr:colOff>426720</xdr:colOff>
      <xdr:row>4</xdr:row>
      <xdr:rowOff>38100</xdr:rowOff>
    </xdr:from>
    <xdr:to>
      <xdr:col>16</xdr:col>
      <xdr:colOff>121920</xdr:colOff>
      <xdr:row>9</xdr:row>
      <xdr:rowOff>38100</xdr:rowOff>
    </xdr:to>
    <xdr:pic>
      <xdr:nvPicPr>
        <xdr:cNvPr id="51" name="Graphic 50" descr="Bar graph with upward trend with solid fill">
          <a:extLst>
            <a:ext uri="{FF2B5EF4-FFF2-40B4-BE49-F238E27FC236}">
              <a16:creationId xmlns:a16="http://schemas.microsoft.com/office/drawing/2014/main" id="{FEA3A557-37A0-2F1A-DCCB-25ACF25C97D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961120" y="800100"/>
          <a:ext cx="914400" cy="914400"/>
        </a:xfrm>
        <a:prstGeom prst="rect">
          <a:avLst/>
        </a:prstGeom>
      </xdr:spPr>
    </xdr:pic>
    <xdr:clientData/>
  </xdr:twoCellAnchor>
  <xdr:twoCellAnchor>
    <xdr:from>
      <xdr:col>4</xdr:col>
      <xdr:colOff>22860</xdr:colOff>
      <xdr:row>8</xdr:row>
      <xdr:rowOff>45720</xdr:rowOff>
    </xdr:from>
    <xdr:to>
      <xdr:col>4</xdr:col>
      <xdr:colOff>130860</xdr:colOff>
      <xdr:row>8</xdr:row>
      <xdr:rowOff>153720</xdr:rowOff>
    </xdr:to>
    <xdr:sp macro="" textlink="">
      <xdr:nvSpPr>
        <xdr:cNvPr id="58" name="Flowchart: Connector 57">
          <a:extLst>
            <a:ext uri="{FF2B5EF4-FFF2-40B4-BE49-F238E27FC236}">
              <a16:creationId xmlns:a16="http://schemas.microsoft.com/office/drawing/2014/main" id="{613DE498-7CF1-4A4F-82D4-98F97B757ECB}"/>
            </a:ext>
          </a:extLst>
        </xdr:cNvPr>
        <xdr:cNvSpPr/>
      </xdr:nvSpPr>
      <xdr:spPr>
        <a:xfrm>
          <a:off x="2461260" y="1539240"/>
          <a:ext cx="108000" cy="108000"/>
        </a:xfrm>
        <a:prstGeom prst="flowChartConnector">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83820</xdr:colOff>
      <xdr:row>7</xdr:row>
      <xdr:rowOff>160020</xdr:rowOff>
    </xdr:from>
    <xdr:to>
      <xdr:col>8</xdr:col>
      <xdr:colOff>191820</xdr:colOff>
      <xdr:row>8</xdr:row>
      <xdr:rowOff>85140</xdr:rowOff>
    </xdr:to>
    <xdr:sp macro="" textlink="">
      <xdr:nvSpPr>
        <xdr:cNvPr id="63" name="Flowchart: Connector 62">
          <a:extLst>
            <a:ext uri="{FF2B5EF4-FFF2-40B4-BE49-F238E27FC236}">
              <a16:creationId xmlns:a16="http://schemas.microsoft.com/office/drawing/2014/main" id="{29DE5A47-A8B8-4A9A-8C5D-529372F5C15C}"/>
            </a:ext>
          </a:extLst>
        </xdr:cNvPr>
        <xdr:cNvSpPr/>
      </xdr:nvSpPr>
      <xdr:spPr>
        <a:xfrm>
          <a:off x="4960620" y="1470660"/>
          <a:ext cx="108000" cy="108000"/>
        </a:xfrm>
        <a:prstGeom prst="flowChartConnector">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289560</xdr:colOff>
      <xdr:row>10</xdr:row>
      <xdr:rowOff>152400</xdr:rowOff>
    </xdr:from>
    <xdr:to>
      <xdr:col>12</xdr:col>
      <xdr:colOff>397560</xdr:colOff>
      <xdr:row>11</xdr:row>
      <xdr:rowOff>77520</xdr:rowOff>
    </xdr:to>
    <xdr:sp macro="" textlink="">
      <xdr:nvSpPr>
        <xdr:cNvPr id="128" name="Flowchart: Connector 127">
          <a:extLst>
            <a:ext uri="{FF2B5EF4-FFF2-40B4-BE49-F238E27FC236}">
              <a16:creationId xmlns:a16="http://schemas.microsoft.com/office/drawing/2014/main" id="{C49B7F51-88DC-4B92-B915-AF0EFED9786A}"/>
            </a:ext>
          </a:extLst>
        </xdr:cNvPr>
        <xdr:cNvSpPr/>
      </xdr:nvSpPr>
      <xdr:spPr>
        <a:xfrm>
          <a:off x="7604760" y="2011680"/>
          <a:ext cx="108000" cy="108000"/>
        </a:xfrm>
        <a:prstGeom prst="flowChartConnector">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22860</xdr:colOff>
      <xdr:row>21</xdr:row>
      <xdr:rowOff>60960</xdr:rowOff>
    </xdr:from>
    <xdr:to>
      <xdr:col>8</xdr:col>
      <xdr:colOff>130860</xdr:colOff>
      <xdr:row>21</xdr:row>
      <xdr:rowOff>168960</xdr:rowOff>
    </xdr:to>
    <xdr:sp macro="" textlink="">
      <xdr:nvSpPr>
        <xdr:cNvPr id="132" name="Flowchart: Connector 131">
          <a:extLst>
            <a:ext uri="{FF2B5EF4-FFF2-40B4-BE49-F238E27FC236}">
              <a16:creationId xmlns:a16="http://schemas.microsoft.com/office/drawing/2014/main" id="{2EE75AA0-54A8-4353-AD8D-D4C5B984B0B3}"/>
            </a:ext>
          </a:extLst>
        </xdr:cNvPr>
        <xdr:cNvSpPr/>
      </xdr:nvSpPr>
      <xdr:spPr>
        <a:xfrm>
          <a:off x="4899660" y="3931920"/>
          <a:ext cx="108000" cy="108000"/>
        </a:xfrm>
        <a:prstGeom prst="flowChartConnector">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563880</xdr:colOff>
      <xdr:row>21</xdr:row>
      <xdr:rowOff>76200</xdr:rowOff>
    </xdr:from>
    <xdr:to>
      <xdr:col>4</xdr:col>
      <xdr:colOff>62280</xdr:colOff>
      <xdr:row>22</xdr:row>
      <xdr:rowOff>1320</xdr:rowOff>
    </xdr:to>
    <xdr:sp macro="" textlink="">
      <xdr:nvSpPr>
        <xdr:cNvPr id="133" name="Flowchart: Connector 132">
          <a:extLst>
            <a:ext uri="{FF2B5EF4-FFF2-40B4-BE49-F238E27FC236}">
              <a16:creationId xmlns:a16="http://schemas.microsoft.com/office/drawing/2014/main" id="{01685ED7-F71E-4C5B-9545-60F97C6D3E29}"/>
            </a:ext>
          </a:extLst>
        </xdr:cNvPr>
        <xdr:cNvSpPr/>
      </xdr:nvSpPr>
      <xdr:spPr>
        <a:xfrm>
          <a:off x="2392680" y="3947160"/>
          <a:ext cx="108000" cy="108000"/>
        </a:xfrm>
        <a:prstGeom prst="flowChartConnector">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327660</xdr:colOff>
      <xdr:row>24</xdr:row>
      <xdr:rowOff>0</xdr:rowOff>
    </xdr:from>
    <xdr:to>
      <xdr:col>0</xdr:col>
      <xdr:colOff>435660</xdr:colOff>
      <xdr:row>24</xdr:row>
      <xdr:rowOff>108000</xdr:rowOff>
    </xdr:to>
    <xdr:sp macro="" textlink="">
      <xdr:nvSpPr>
        <xdr:cNvPr id="134" name="Flowchart: Connector 133">
          <a:extLst>
            <a:ext uri="{FF2B5EF4-FFF2-40B4-BE49-F238E27FC236}">
              <a16:creationId xmlns:a16="http://schemas.microsoft.com/office/drawing/2014/main" id="{48236C0F-5656-4CE1-8D8B-E2D964ABCE1B}"/>
            </a:ext>
          </a:extLst>
        </xdr:cNvPr>
        <xdr:cNvSpPr/>
      </xdr:nvSpPr>
      <xdr:spPr>
        <a:xfrm>
          <a:off x="327660" y="4419600"/>
          <a:ext cx="108000" cy="108000"/>
        </a:xfrm>
        <a:prstGeom prst="flowChartConnector">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251460</xdr:colOff>
      <xdr:row>2</xdr:row>
      <xdr:rowOff>91440</xdr:rowOff>
    </xdr:from>
    <xdr:to>
      <xdr:col>12</xdr:col>
      <xdr:colOff>359460</xdr:colOff>
      <xdr:row>3</xdr:row>
      <xdr:rowOff>16560</xdr:rowOff>
    </xdr:to>
    <xdr:sp macro="" textlink="">
      <xdr:nvSpPr>
        <xdr:cNvPr id="135" name="Flowchart: Connector 134">
          <a:extLst>
            <a:ext uri="{FF2B5EF4-FFF2-40B4-BE49-F238E27FC236}">
              <a16:creationId xmlns:a16="http://schemas.microsoft.com/office/drawing/2014/main" id="{E7CD811B-C00B-4756-B5EF-89620F21A063}"/>
            </a:ext>
          </a:extLst>
        </xdr:cNvPr>
        <xdr:cNvSpPr/>
      </xdr:nvSpPr>
      <xdr:spPr>
        <a:xfrm>
          <a:off x="7566660" y="487680"/>
          <a:ext cx="108000" cy="108000"/>
        </a:xfrm>
        <a:prstGeom prst="flowChartConnector">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1</xdr:col>
      <xdr:colOff>541020</xdr:colOff>
      <xdr:row>1</xdr:row>
      <xdr:rowOff>114300</xdr:rowOff>
    </xdr:from>
    <xdr:ext cx="2933700" cy="990599"/>
    <xdr:sp macro="" textlink="">
      <xdr:nvSpPr>
        <xdr:cNvPr id="136" name="TextBox 135">
          <a:extLst>
            <a:ext uri="{FF2B5EF4-FFF2-40B4-BE49-F238E27FC236}">
              <a16:creationId xmlns:a16="http://schemas.microsoft.com/office/drawing/2014/main" id="{9164CD10-35AC-94AA-2E53-BC8D3F67E65C}"/>
            </a:ext>
          </a:extLst>
        </xdr:cNvPr>
        <xdr:cNvSpPr txBox="1"/>
      </xdr:nvSpPr>
      <xdr:spPr>
        <a:xfrm>
          <a:off x="1150620" y="327660"/>
          <a:ext cx="2933700" cy="990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b="1">
              <a:solidFill>
                <a:srgbClr val="FFC000"/>
              </a:solidFill>
            </a:rPr>
            <a:t>HR </a:t>
          </a:r>
        </a:p>
        <a:p>
          <a:r>
            <a:rPr lang="en-IN" sz="1800" b="1">
              <a:solidFill>
                <a:srgbClr val="FFC000"/>
              </a:solidFill>
            </a:rPr>
            <a:t>Dashboard</a:t>
          </a:r>
        </a:p>
        <a:p>
          <a:r>
            <a:rPr lang="en-IN" sz="1100">
              <a:solidFill>
                <a:schemeClr val="bg1">
                  <a:lumMod val="85000"/>
                </a:schemeClr>
              </a:solidFill>
            </a:rPr>
            <a:t>Analyze &amp; Monitor the HR Department</a:t>
          </a:r>
        </a:p>
      </xdr:txBody>
    </xdr:sp>
    <xdr:clientData/>
  </xdr:oneCellAnchor>
  <xdr:twoCellAnchor editAs="oneCell">
    <xdr:from>
      <xdr:col>0</xdr:col>
      <xdr:colOff>571500</xdr:colOff>
      <xdr:row>3</xdr:row>
      <xdr:rowOff>152400</xdr:rowOff>
    </xdr:from>
    <xdr:to>
      <xdr:col>1</xdr:col>
      <xdr:colOff>556260</xdr:colOff>
      <xdr:row>7</xdr:row>
      <xdr:rowOff>15240</xdr:rowOff>
    </xdr:to>
    <xdr:pic>
      <xdr:nvPicPr>
        <xdr:cNvPr id="138" name="Graphic 137" descr="Group success with solid fill">
          <a:extLst>
            <a:ext uri="{FF2B5EF4-FFF2-40B4-BE49-F238E27FC236}">
              <a16:creationId xmlns:a16="http://schemas.microsoft.com/office/drawing/2014/main" id="{659116E7-BB12-1CF8-3AEC-40717E04107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71500" y="731520"/>
          <a:ext cx="594360" cy="594360"/>
        </a:xfrm>
        <a:prstGeom prst="rect">
          <a:avLst/>
        </a:prstGeom>
      </xdr:spPr>
    </xdr:pic>
    <xdr:clientData/>
  </xdr:twoCellAnchor>
  <xdr:twoCellAnchor editAs="oneCell">
    <xdr:from>
      <xdr:col>1</xdr:col>
      <xdr:colOff>0</xdr:colOff>
      <xdr:row>1</xdr:row>
      <xdr:rowOff>144780</xdr:rowOff>
    </xdr:from>
    <xdr:to>
      <xdr:col>1</xdr:col>
      <xdr:colOff>556260</xdr:colOff>
      <xdr:row>4</xdr:row>
      <xdr:rowOff>152400</xdr:rowOff>
    </xdr:to>
    <xdr:pic>
      <xdr:nvPicPr>
        <xdr:cNvPr id="140" name="Graphic 139" descr="City with solid fill">
          <a:extLst>
            <a:ext uri="{FF2B5EF4-FFF2-40B4-BE49-F238E27FC236}">
              <a16:creationId xmlns:a16="http://schemas.microsoft.com/office/drawing/2014/main" id="{F670933F-AF5D-6D0D-0EC7-D3F58BFF3C1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09600" y="358140"/>
          <a:ext cx="556260" cy="556260"/>
        </a:xfrm>
        <a:prstGeom prst="rect">
          <a:avLst/>
        </a:prstGeom>
      </xdr:spPr>
    </xdr:pic>
    <xdr:clientData/>
  </xdr:twoCellAnchor>
  <xdr:twoCellAnchor editAs="oneCell">
    <xdr:from>
      <xdr:col>7</xdr:col>
      <xdr:colOff>541020</xdr:colOff>
      <xdr:row>2</xdr:row>
      <xdr:rowOff>7620</xdr:rowOff>
    </xdr:from>
    <xdr:to>
      <xdr:col>12</xdr:col>
      <xdr:colOff>83820</xdr:colOff>
      <xdr:row>7</xdr:row>
      <xdr:rowOff>53340</xdr:rowOff>
    </xdr:to>
    <mc:AlternateContent xmlns:mc="http://schemas.openxmlformats.org/markup-compatibility/2006">
      <mc:Choice xmlns:a14="http://schemas.microsoft.com/office/drawing/2010/main" Requires="a14">
        <xdr:graphicFrame macro="">
          <xdr:nvGraphicFramePr>
            <xdr:cNvPr id="141" name="Department">
              <a:extLst>
                <a:ext uri="{FF2B5EF4-FFF2-40B4-BE49-F238E27FC236}">
                  <a16:creationId xmlns:a16="http://schemas.microsoft.com/office/drawing/2014/main" id="{88D9D481-787A-4C8A-8442-A2B0191C227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808220" y="403860"/>
              <a:ext cx="25908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441960</xdr:colOff>
      <xdr:row>2</xdr:row>
      <xdr:rowOff>22860</xdr:rowOff>
    </xdr:from>
    <xdr:to>
      <xdr:col>7</xdr:col>
      <xdr:colOff>411480</xdr:colOff>
      <xdr:row>5</xdr:row>
      <xdr:rowOff>167640</xdr:rowOff>
    </xdr:to>
    <mc:AlternateContent xmlns:mc="http://schemas.openxmlformats.org/markup-compatibility/2006">
      <mc:Choice xmlns:a14="http://schemas.microsoft.com/office/drawing/2010/main" Requires="a14">
        <xdr:graphicFrame macro="">
          <xdr:nvGraphicFramePr>
            <xdr:cNvPr id="142" name="Gender">
              <a:extLst>
                <a:ext uri="{FF2B5EF4-FFF2-40B4-BE49-F238E27FC236}">
                  <a16:creationId xmlns:a16="http://schemas.microsoft.com/office/drawing/2014/main" id="{457A45F7-9FCD-4E7C-A6AE-50B8E6BC674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880360" y="419100"/>
              <a:ext cx="179832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76200</xdr:colOff>
      <xdr:row>2</xdr:row>
      <xdr:rowOff>38100</xdr:rowOff>
    </xdr:from>
    <xdr:ext cx="1882140" cy="198120"/>
    <xdr:sp macro="" textlink="">
      <xdr:nvSpPr>
        <xdr:cNvPr id="143" name="TextBox 142">
          <a:extLst>
            <a:ext uri="{FF2B5EF4-FFF2-40B4-BE49-F238E27FC236}">
              <a16:creationId xmlns:a16="http://schemas.microsoft.com/office/drawing/2014/main" id="{282F9A57-7270-D146-D8D9-30BAD0AA6D28}"/>
            </a:ext>
          </a:extLst>
        </xdr:cNvPr>
        <xdr:cNvSpPr txBox="1"/>
      </xdr:nvSpPr>
      <xdr:spPr>
        <a:xfrm>
          <a:off x="4953000" y="434340"/>
          <a:ext cx="1882140" cy="19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1200" b="1">
              <a:solidFill>
                <a:schemeClr val="bg1">
                  <a:lumMod val="85000"/>
                </a:schemeClr>
              </a:solidFill>
              <a:effectLst/>
              <a:latin typeface="+mn-lt"/>
              <a:ea typeface="+mn-ea"/>
              <a:cs typeface="+mn-cs"/>
            </a:rPr>
            <a:t>Filter by Department</a:t>
          </a:r>
          <a:endParaRPr lang="en-IN" sz="1200" b="1">
            <a:solidFill>
              <a:schemeClr val="bg1">
                <a:lumMod val="85000"/>
              </a:schemeClr>
            </a:solidFill>
            <a:effectLst/>
          </a:endParaRPr>
        </a:p>
      </xdr:txBody>
    </xdr:sp>
    <xdr:clientData/>
  </xdr:oneCellAnchor>
  <xdr:oneCellAnchor>
    <xdr:from>
      <xdr:col>4</xdr:col>
      <xdr:colOff>525780</xdr:colOff>
      <xdr:row>2</xdr:row>
      <xdr:rowOff>22860</xdr:rowOff>
    </xdr:from>
    <xdr:ext cx="1196340" cy="281940"/>
    <xdr:sp macro="" textlink="">
      <xdr:nvSpPr>
        <xdr:cNvPr id="144" name="TextBox 143">
          <a:extLst>
            <a:ext uri="{FF2B5EF4-FFF2-40B4-BE49-F238E27FC236}">
              <a16:creationId xmlns:a16="http://schemas.microsoft.com/office/drawing/2014/main" id="{2F719155-4612-91A8-FF79-B23C37944AD5}"/>
            </a:ext>
          </a:extLst>
        </xdr:cNvPr>
        <xdr:cNvSpPr txBox="1"/>
      </xdr:nvSpPr>
      <xdr:spPr>
        <a:xfrm>
          <a:off x="2964180" y="419100"/>
          <a:ext cx="119634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1200" b="1">
              <a:solidFill>
                <a:schemeClr val="bg1">
                  <a:lumMod val="85000"/>
                </a:schemeClr>
              </a:solidFill>
              <a:effectLst/>
              <a:latin typeface="+mn-lt"/>
              <a:cs typeface="Segoe UI Semibold" panose="020B0702040204020203" pitchFamily="34" charset="0"/>
            </a:rPr>
            <a:t>Filter</a:t>
          </a:r>
          <a:r>
            <a:rPr lang="en-IN" sz="1200" b="1" baseline="0">
              <a:solidFill>
                <a:schemeClr val="bg1">
                  <a:lumMod val="85000"/>
                </a:schemeClr>
              </a:solidFill>
              <a:effectLst/>
              <a:latin typeface="+mn-lt"/>
              <a:cs typeface="Segoe UI Semibold" panose="020B0702040204020203" pitchFamily="34" charset="0"/>
            </a:rPr>
            <a:t> bt Gender</a:t>
          </a:r>
          <a:endParaRPr lang="en-IN" sz="1200" b="1">
            <a:solidFill>
              <a:schemeClr val="bg1">
                <a:lumMod val="85000"/>
              </a:schemeClr>
            </a:solidFill>
            <a:effectLst/>
            <a:latin typeface="+mn-lt"/>
            <a:cs typeface="Segoe UI Semibold" panose="020B0702040204020203" pitchFamily="34" charset="0"/>
          </a:endParaRPr>
        </a:p>
      </xdr:txBody>
    </xdr:sp>
    <xdr:clientData/>
  </xdr:oneCellAnchor>
  <xdr:twoCellAnchor>
    <xdr:from>
      <xdr:col>4</xdr:col>
      <xdr:colOff>464820</xdr:colOff>
      <xdr:row>2</xdr:row>
      <xdr:rowOff>99060</xdr:rowOff>
    </xdr:from>
    <xdr:to>
      <xdr:col>4</xdr:col>
      <xdr:colOff>572820</xdr:colOff>
      <xdr:row>3</xdr:row>
      <xdr:rowOff>24180</xdr:rowOff>
    </xdr:to>
    <xdr:sp macro="" textlink="">
      <xdr:nvSpPr>
        <xdr:cNvPr id="145" name="Flowchart: Connector 144">
          <a:extLst>
            <a:ext uri="{FF2B5EF4-FFF2-40B4-BE49-F238E27FC236}">
              <a16:creationId xmlns:a16="http://schemas.microsoft.com/office/drawing/2014/main" id="{188A709C-009B-49FA-A17F-110AB6B781E6}"/>
            </a:ext>
          </a:extLst>
        </xdr:cNvPr>
        <xdr:cNvSpPr/>
      </xdr:nvSpPr>
      <xdr:spPr>
        <a:xfrm>
          <a:off x="2903220" y="495300"/>
          <a:ext cx="108000" cy="108000"/>
        </a:xfrm>
        <a:prstGeom prst="flowChartConnector">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15240</xdr:colOff>
      <xdr:row>2</xdr:row>
      <xdr:rowOff>83820</xdr:rowOff>
    </xdr:from>
    <xdr:to>
      <xdr:col>8</xdr:col>
      <xdr:colOff>123240</xdr:colOff>
      <xdr:row>3</xdr:row>
      <xdr:rowOff>8940</xdr:rowOff>
    </xdr:to>
    <xdr:sp macro="" textlink="">
      <xdr:nvSpPr>
        <xdr:cNvPr id="146" name="Flowchart: Connector 145">
          <a:extLst>
            <a:ext uri="{FF2B5EF4-FFF2-40B4-BE49-F238E27FC236}">
              <a16:creationId xmlns:a16="http://schemas.microsoft.com/office/drawing/2014/main" id="{84593DCC-98D1-415A-ABA1-BDF012CA2AEE}"/>
            </a:ext>
          </a:extLst>
        </xdr:cNvPr>
        <xdr:cNvSpPr/>
      </xdr:nvSpPr>
      <xdr:spPr>
        <a:xfrm>
          <a:off x="4892040" y="480060"/>
          <a:ext cx="108000" cy="108000"/>
        </a:xfrm>
        <a:prstGeom prst="flowChartConnector">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0.35221</cdr:y>
    </cdr:from>
    <cdr:to>
      <cdr:x>1</cdr:x>
      <cdr:y>0.62816</cdr:y>
    </cdr:to>
    <cdr:sp macro="" textlink="'Pivot Table'!$I$19">
      <cdr:nvSpPr>
        <cdr:cNvPr id="2" name="TextBox 251">
          <a:extLst xmlns:a="http://schemas.openxmlformats.org/drawingml/2006/main">
            <a:ext uri="{FF2B5EF4-FFF2-40B4-BE49-F238E27FC236}">
              <a16:creationId xmlns:a16="http://schemas.microsoft.com/office/drawing/2014/main" id="{03105A54-834D-7A62-D21F-3DFAACAB1209}"/>
            </a:ext>
          </a:extLst>
        </cdr:cNvPr>
        <cdr:cNvSpPr txBox="1"/>
      </cdr:nvSpPr>
      <cdr:spPr>
        <a:xfrm xmlns:a="http://schemas.openxmlformats.org/drawingml/2006/main">
          <a:off x="0" y="319020"/>
          <a:ext cx="990600" cy="24994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fld id="{9CB60300-2D9C-4D62-91F6-CB4BACD82DA8}" type="TxLink">
            <a:rPr lang="en-US" sz="1100" b="1" i="0" u="none" strike="noStrike">
              <a:solidFill>
                <a:schemeClr val="bg1">
                  <a:lumMod val="95000"/>
                </a:schemeClr>
              </a:solidFill>
              <a:latin typeface="Aptos Narrow"/>
            </a:rPr>
            <a:pPr algn="ctr"/>
            <a:t>52%</a:t>
          </a:fld>
          <a:endParaRPr lang="en-IN" sz="1200" b="1">
            <a:solidFill>
              <a:schemeClr val="bg1">
                <a:lumMod val="95000"/>
              </a:schemeClr>
            </a:solidFill>
            <a:latin typeface="Kulim park"/>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8.245920254631" createdVersion="8" refreshedVersion="8" minRefreshableVersion="3" recordCount="50" xr:uid="{E81AF8E3-D5BA-4830-B369-BB1A07FFABF5}">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ount="27">
        <n v="25"/>
        <n v="27"/>
        <n v="34"/>
        <n v="41"/>
        <n v="56"/>
        <n v="28"/>
        <n v="20"/>
        <n v="58"/>
        <n v="44"/>
        <n v="29"/>
        <n v="23"/>
        <n v="30"/>
        <n v="49"/>
        <n v="60"/>
        <n v="46"/>
        <n v="57"/>
        <n v="24"/>
        <n v="35"/>
        <n v="36"/>
        <n v="31"/>
        <n v="37"/>
        <n v="48"/>
        <n v="45"/>
        <n v="52"/>
        <n v="42"/>
        <n v="21"/>
        <n v="59"/>
      </sharedItems>
    </cacheField>
    <cacheField name="Age range" numFmtId="0">
      <sharedItems count="9">
        <s v="18-25"/>
        <s v="26-35"/>
        <s v="36-45"/>
        <s v="56 &lt;"/>
        <s v="46-55"/>
        <s v="Formula1" f="1"/>
        <s v="Formula2" f="1"/>
        <s v="Formula3" f="1"/>
        <s v="Formula4" f="1"/>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calculatedItems count="4">
    <calculatedItem>
      <pivotArea cacheIndex="1" outline="0" fieldPosition="0">
        <references count="1">
          <reference field="4" count="1">
            <x v="5"/>
          </reference>
        </references>
      </pivotArea>
    </calculatedItem>
    <calculatedItem>
      <pivotArea cacheIndex="1" outline="0" fieldPosition="0">
        <references count="1">
          <reference field="4" count="1">
            <x v="6"/>
          </reference>
        </references>
      </pivotArea>
    </calculatedItem>
    <calculatedItem>
      <pivotArea cacheIndex="1" outline="0" fieldPosition="0">
        <references count="1">
          <reference field="4" count="1">
            <x v="7"/>
          </reference>
        </references>
      </pivotArea>
    </calculatedItem>
    <calculatedItem>
      <pivotArea cacheIndex="1" outline="0" fieldPosition="0">
        <references count="1">
          <reference field="4" count="1">
            <x v="8"/>
          </reference>
        </references>
      </pivotArea>
    </calculatedItem>
  </calculatedItems>
  <extLst>
    <ext xmlns:x14="http://schemas.microsoft.com/office/spreadsheetml/2009/9/main" uri="{725AE2AE-9491-48be-B2B4-4EB974FC3084}">
      <x14:pivotCacheDefinition pivotCacheId="1287855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x v="0"/>
    <x v="0"/>
    <x v="0"/>
    <x v="0"/>
    <x v="0"/>
    <x v="0"/>
    <x v="0"/>
    <s v="Luis Reynolds"/>
    <s v="2019-03-15"/>
    <x v="0"/>
    <x v="0"/>
    <n v="53700"/>
    <s v="C"/>
    <n v="1463"/>
    <s v="Health"/>
    <n v="1"/>
    <n v="1"/>
    <s v="Leadership Training"/>
    <x v="0"/>
    <s v="Certified Professional"/>
  </r>
  <r>
    <n v="9116"/>
    <x v="1"/>
    <x v="1"/>
    <x v="1"/>
    <x v="1"/>
    <x v="1"/>
    <x v="1"/>
    <x v="1"/>
    <s v="Ashley Simmons MD"/>
    <s v="2022-12-20"/>
    <x v="0"/>
    <x v="1"/>
    <n v="91091"/>
    <s v="B"/>
    <n v="1024"/>
    <s v="None"/>
    <n v="19"/>
    <n v="4"/>
    <s v="Excel Workshop"/>
    <x v="0"/>
    <s v="Certified Professional"/>
  </r>
  <r>
    <n v="5120"/>
    <x v="2"/>
    <x v="1"/>
    <x v="2"/>
    <x v="1"/>
    <x v="2"/>
    <x v="2"/>
    <x v="2"/>
    <s v="Cassandra Duncan"/>
    <s v="2022-08-10"/>
    <x v="0"/>
    <x v="2"/>
    <n v="57538"/>
    <s v="D"/>
    <n v="1674"/>
    <s v="None"/>
    <n v="8"/>
    <n v="1"/>
    <s v="None"/>
    <x v="1"/>
    <s v="Advanced Training"/>
  </r>
  <r>
    <n v="8071"/>
    <x v="3"/>
    <x v="0"/>
    <x v="3"/>
    <x v="2"/>
    <x v="2"/>
    <x v="0"/>
    <x v="3"/>
    <s v="Janet Harris"/>
    <s v="2024-09-03"/>
    <x v="1"/>
    <x v="0"/>
    <n v="62993"/>
    <s v="A"/>
    <n v="2695"/>
    <s v="Health + Dental"/>
    <n v="0"/>
    <n v="2"/>
    <s v="None"/>
    <x v="2"/>
    <s v="None"/>
  </r>
  <r>
    <n v="9351"/>
    <x v="4"/>
    <x v="1"/>
    <x v="4"/>
    <x v="3"/>
    <x v="0"/>
    <x v="0"/>
    <x v="2"/>
    <s v="Mr. Frank Clay"/>
    <s v="2019-03-14"/>
    <x v="1"/>
    <x v="1"/>
    <n v="45773"/>
    <s v="A"/>
    <n v="8776"/>
    <s v="Health"/>
    <n v="16"/>
    <n v="4"/>
    <s v="Leadership Training"/>
    <x v="2"/>
    <s v="None"/>
  </r>
  <r>
    <n v="2873"/>
    <x v="5"/>
    <x v="0"/>
    <x v="5"/>
    <x v="1"/>
    <x v="2"/>
    <x v="3"/>
    <x v="2"/>
    <s v="Dorothy Price"/>
    <s v="2017-01-23"/>
    <x v="0"/>
    <x v="1"/>
    <n v="96249"/>
    <s v="C"/>
    <n v="4826"/>
    <s v="Health + Dental"/>
    <n v="7"/>
    <n v="3"/>
    <s v="Leadership Training"/>
    <x v="3"/>
    <s v="Certified Professional"/>
  </r>
  <r>
    <n v="3540"/>
    <x v="6"/>
    <x v="0"/>
    <x v="6"/>
    <x v="0"/>
    <x v="1"/>
    <x v="2"/>
    <x v="2"/>
    <s v="Michele Sexton"/>
    <s v="2024-08-17"/>
    <x v="0"/>
    <x v="2"/>
    <n v="61596"/>
    <s v="C"/>
    <n v="8818"/>
    <s v="Health + Dental"/>
    <n v="4"/>
    <n v="2"/>
    <s v="Leadership Training"/>
    <x v="1"/>
    <s v="None"/>
  </r>
  <r>
    <n v="3653"/>
    <x v="7"/>
    <x v="0"/>
    <x v="7"/>
    <x v="3"/>
    <x v="3"/>
    <x v="1"/>
    <x v="4"/>
    <s v="Richard Schmidt"/>
    <s v="2014-12-09"/>
    <x v="0"/>
    <x v="2"/>
    <n v="97869"/>
    <s v="A"/>
    <n v="1966"/>
    <s v="Health"/>
    <n v="10"/>
    <n v="1"/>
    <s v="Leadership Training"/>
    <x v="0"/>
    <s v="Certified Professional"/>
  </r>
  <r>
    <n v="5587"/>
    <x v="8"/>
    <x v="0"/>
    <x v="8"/>
    <x v="2"/>
    <x v="3"/>
    <x v="2"/>
    <x v="2"/>
    <s v="Teresa Pearson"/>
    <s v="2021-06-28"/>
    <x v="0"/>
    <x v="0"/>
    <n v="81235"/>
    <s v="A"/>
    <n v="6553"/>
    <s v="None"/>
    <n v="16"/>
    <n v="2"/>
    <s v="None"/>
    <x v="1"/>
    <s v="Certified Professional"/>
  </r>
  <r>
    <n v="9554"/>
    <x v="9"/>
    <x v="0"/>
    <x v="9"/>
    <x v="1"/>
    <x v="1"/>
    <x v="2"/>
    <x v="3"/>
    <s v="Laura Hart"/>
    <s v="2018-05-20"/>
    <x v="0"/>
    <x v="1"/>
    <n v="87852"/>
    <s v="A"/>
    <n v="4980"/>
    <s v="Health + Dental"/>
    <n v="19"/>
    <n v="3"/>
    <s v="None"/>
    <x v="2"/>
    <s v="Certified Professional"/>
  </r>
  <r>
    <n v="6213"/>
    <x v="10"/>
    <x v="1"/>
    <x v="10"/>
    <x v="0"/>
    <x v="3"/>
    <x v="0"/>
    <x v="2"/>
    <s v="Andrea May"/>
    <s v="2017-02-13"/>
    <x v="1"/>
    <x v="1"/>
    <n v="59359"/>
    <s v="A"/>
    <n v="9449"/>
    <s v="Health + Dental"/>
    <n v="20"/>
    <n v="3"/>
    <s v="None"/>
    <x v="1"/>
    <s v="None"/>
  </r>
  <r>
    <n v="9105"/>
    <x v="11"/>
    <x v="1"/>
    <x v="11"/>
    <x v="1"/>
    <x v="0"/>
    <x v="1"/>
    <x v="0"/>
    <s v="Casey Martin"/>
    <s v="2024-05-05"/>
    <x v="1"/>
    <x v="2"/>
    <n v="81225"/>
    <s v="D"/>
    <n v="6202"/>
    <s v="Health + Dental"/>
    <n v="2"/>
    <n v="2"/>
    <s v="Excel Workshop"/>
    <x v="4"/>
    <s v="Certified Professional"/>
  </r>
  <r>
    <n v="9508"/>
    <x v="12"/>
    <x v="0"/>
    <x v="12"/>
    <x v="4"/>
    <x v="1"/>
    <x v="0"/>
    <x v="0"/>
    <s v="Amber Allen"/>
    <s v="2022-04-19"/>
    <x v="1"/>
    <x v="0"/>
    <n v="32788"/>
    <s v="D"/>
    <n v="4396"/>
    <s v="Health"/>
    <n v="13"/>
    <n v="5"/>
    <s v="None"/>
    <x v="3"/>
    <s v="Advanced Training"/>
  </r>
  <r>
    <n v="2436"/>
    <x v="13"/>
    <x v="1"/>
    <x v="13"/>
    <x v="3"/>
    <x v="4"/>
    <x v="0"/>
    <x v="3"/>
    <s v="Adam Johnson"/>
    <s v="2015-11-16"/>
    <x v="1"/>
    <x v="2"/>
    <n v="70452"/>
    <s v="D"/>
    <n v="9911"/>
    <s v="None"/>
    <n v="2"/>
    <n v="1"/>
    <s v="None"/>
    <x v="3"/>
    <s v="Certified Professional"/>
  </r>
  <r>
    <n v="4441"/>
    <x v="14"/>
    <x v="1"/>
    <x v="14"/>
    <x v="4"/>
    <x v="1"/>
    <x v="3"/>
    <x v="0"/>
    <s v="Nicole Dominguez"/>
    <s v="2023-09-09"/>
    <x v="0"/>
    <x v="1"/>
    <n v="33045"/>
    <s v="B"/>
    <n v="1456"/>
    <s v="None"/>
    <n v="16"/>
    <n v="3"/>
    <s v="Excel Workshop"/>
    <x v="3"/>
    <s v="None"/>
  </r>
  <r>
    <n v="5827"/>
    <x v="15"/>
    <x v="1"/>
    <x v="15"/>
    <x v="3"/>
    <x v="2"/>
    <x v="3"/>
    <x v="1"/>
    <s v="Andrew Best"/>
    <s v="2017-12-12"/>
    <x v="2"/>
    <x v="2"/>
    <n v="96429"/>
    <s v="C"/>
    <n v="4740"/>
    <s v="None"/>
    <n v="8"/>
    <n v="1"/>
    <s v="Excel Workshop"/>
    <x v="2"/>
    <s v="None"/>
  </r>
  <r>
    <n v="5184"/>
    <x v="16"/>
    <x v="0"/>
    <x v="16"/>
    <x v="0"/>
    <x v="1"/>
    <x v="2"/>
    <x v="2"/>
    <s v="Gabrielle Rodriguez"/>
    <s v="2017-03-10"/>
    <x v="2"/>
    <x v="2"/>
    <n v="33183"/>
    <s v="A"/>
    <n v="8114"/>
    <s v="None"/>
    <n v="4"/>
    <n v="2"/>
    <s v="Excel Workshop"/>
    <x v="4"/>
    <s v="Advanced Training"/>
  </r>
  <r>
    <n v="5874"/>
    <x v="3"/>
    <x v="0"/>
    <x v="17"/>
    <x v="1"/>
    <x v="4"/>
    <x v="3"/>
    <x v="0"/>
    <s v="Allison Harvey"/>
    <s v="2019-03-04"/>
    <x v="2"/>
    <x v="0"/>
    <n v="75065"/>
    <s v="C"/>
    <n v="7123"/>
    <s v="None"/>
    <n v="20"/>
    <n v="2"/>
    <s v="None"/>
    <x v="0"/>
    <s v="Advanced Training"/>
  </r>
  <r>
    <n v="9834"/>
    <x v="17"/>
    <x v="1"/>
    <x v="3"/>
    <x v="2"/>
    <x v="1"/>
    <x v="1"/>
    <x v="4"/>
    <s v="Tristan Mejia"/>
    <s v="2022-11-20"/>
    <x v="0"/>
    <x v="2"/>
    <n v="32877"/>
    <s v="C"/>
    <n v="6432"/>
    <s v="Health"/>
    <n v="11"/>
    <n v="1"/>
    <s v="None"/>
    <x v="0"/>
    <s v="None"/>
  </r>
  <r>
    <n v="5096"/>
    <x v="18"/>
    <x v="1"/>
    <x v="18"/>
    <x v="2"/>
    <x v="1"/>
    <x v="4"/>
    <x v="3"/>
    <s v="Mary Welch"/>
    <s v="2021-03-02"/>
    <x v="0"/>
    <x v="1"/>
    <n v="46811"/>
    <s v="D"/>
    <n v="1567"/>
    <s v="None"/>
    <n v="7"/>
    <n v="3"/>
    <s v="Excel Workshop"/>
    <x v="0"/>
    <s v="Advanced Training"/>
  </r>
  <r>
    <n v="2263"/>
    <x v="19"/>
    <x v="1"/>
    <x v="19"/>
    <x v="1"/>
    <x v="3"/>
    <x v="2"/>
    <x v="1"/>
    <s v="Douglas Miles"/>
    <s v="2021-08-01"/>
    <x v="1"/>
    <x v="1"/>
    <n v="87538"/>
    <s v="C"/>
    <n v="3588"/>
    <s v="Health + Dental"/>
    <n v="11"/>
    <n v="5"/>
    <s v="Excel Workshop"/>
    <x v="2"/>
    <s v="None"/>
  </r>
  <r>
    <n v="6505"/>
    <x v="20"/>
    <x v="0"/>
    <x v="5"/>
    <x v="1"/>
    <x v="0"/>
    <x v="1"/>
    <x v="4"/>
    <s v="Jessica Fleming"/>
    <s v="2015-08-14"/>
    <x v="0"/>
    <x v="1"/>
    <n v="73002"/>
    <s v="C"/>
    <n v="6296"/>
    <s v="Health"/>
    <n v="2"/>
    <n v="5"/>
    <s v="Excel Workshop"/>
    <x v="1"/>
    <s v="Certified Professional"/>
  </r>
  <r>
    <n v="8626"/>
    <x v="21"/>
    <x v="1"/>
    <x v="20"/>
    <x v="2"/>
    <x v="3"/>
    <x v="1"/>
    <x v="3"/>
    <s v="Christine Lee"/>
    <s v="2015-10-21"/>
    <x v="2"/>
    <x v="2"/>
    <n v="41653"/>
    <s v="D"/>
    <n v="9236"/>
    <s v="None"/>
    <n v="13"/>
    <n v="1"/>
    <s v="Excel Workshop"/>
    <x v="0"/>
    <s v="None"/>
  </r>
  <r>
    <n v="5979"/>
    <x v="22"/>
    <x v="0"/>
    <x v="19"/>
    <x v="1"/>
    <x v="0"/>
    <x v="0"/>
    <x v="2"/>
    <s v="Mario Smith DVM"/>
    <s v="2015-03-14"/>
    <x v="1"/>
    <x v="1"/>
    <n v="67582"/>
    <s v="A"/>
    <n v="1375"/>
    <s v="Health"/>
    <n v="20"/>
    <n v="3"/>
    <s v="Excel Workshop"/>
    <x v="1"/>
    <s v="None"/>
  </r>
  <r>
    <n v="3104"/>
    <x v="23"/>
    <x v="0"/>
    <x v="10"/>
    <x v="0"/>
    <x v="3"/>
    <x v="1"/>
    <x v="1"/>
    <s v="Joseph Francis"/>
    <s v="2024-05-22"/>
    <x v="2"/>
    <x v="1"/>
    <n v="37351"/>
    <s v="D"/>
    <n v="7858"/>
    <s v="Health + Dental"/>
    <n v="18"/>
    <n v="2"/>
    <s v="Leadership Training"/>
    <x v="1"/>
    <s v="Advanced Training"/>
  </r>
  <r>
    <n v="8967"/>
    <x v="24"/>
    <x v="0"/>
    <x v="21"/>
    <x v="4"/>
    <x v="4"/>
    <x v="2"/>
    <x v="0"/>
    <s v="Sarah Young"/>
    <s v="2017-03-19"/>
    <x v="0"/>
    <x v="1"/>
    <n v="36721"/>
    <s v="B"/>
    <n v="8820"/>
    <s v="Health + Dental"/>
    <n v="0"/>
    <n v="2"/>
    <s v="Excel Workshop"/>
    <x v="1"/>
    <s v="Certified Professional"/>
  </r>
  <r>
    <n v="5087"/>
    <x v="25"/>
    <x v="1"/>
    <x v="5"/>
    <x v="1"/>
    <x v="2"/>
    <x v="4"/>
    <x v="0"/>
    <s v="Aaron Hart"/>
    <s v="2021-09-15"/>
    <x v="1"/>
    <x v="2"/>
    <n v="46326"/>
    <s v="B"/>
    <n v="9189"/>
    <s v="Health + Dental"/>
    <n v="8"/>
    <n v="4"/>
    <s v="Leadership Training"/>
    <x v="3"/>
    <s v="Advanced Training"/>
  </r>
  <r>
    <n v="3358"/>
    <x v="26"/>
    <x v="1"/>
    <x v="11"/>
    <x v="1"/>
    <x v="1"/>
    <x v="3"/>
    <x v="1"/>
    <s v="Brian Boyd"/>
    <s v="2022-05-09"/>
    <x v="0"/>
    <x v="0"/>
    <n v="59007"/>
    <s v="C"/>
    <n v="3380"/>
    <s v="Health"/>
    <n v="17"/>
    <n v="3"/>
    <s v="None"/>
    <x v="4"/>
    <s v="Certified Professional"/>
  </r>
  <r>
    <n v="8256"/>
    <x v="27"/>
    <x v="1"/>
    <x v="14"/>
    <x v="4"/>
    <x v="3"/>
    <x v="0"/>
    <x v="3"/>
    <s v="Steven Krueger"/>
    <s v="2017-06-22"/>
    <x v="0"/>
    <x v="1"/>
    <n v="52020"/>
    <s v="B"/>
    <n v="9585"/>
    <s v="Health + Dental"/>
    <n v="0"/>
    <n v="4"/>
    <s v="Excel Workshop"/>
    <x v="4"/>
    <s v="None"/>
  </r>
  <r>
    <n v="5763"/>
    <x v="28"/>
    <x v="1"/>
    <x v="8"/>
    <x v="2"/>
    <x v="1"/>
    <x v="2"/>
    <x v="1"/>
    <s v="Debra Williams"/>
    <s v="2020-11-28"/>
    <x v="2"/>
    <x v="1"/>
    <n v="98961"/>
    <s v="D"/>
    <n v="2688"/>
    <s v="Health"/>
    <n v="2"/>
    <n v="5"/>
    <s v="Excel Workshop"/>
    <x v="4"/>
    <s v="Certified Professional"/>
  </r>
  <r>
    <n v="6838"/>
    <x v="29"/>
    <x v="1"/>
    <x v="22"/>
    <x v="2"/>
    <x v="2"/>
    <x v="3"/>
    <x v="2"/>
    <s v="Karen Mitchell"/>
    <s v="2015-08-30"/>
    <x v="2"/>
    <x v="1"/>
    <n v="81943"/>
    <s v="C"/>
    <n v="2255"/>
    <s v="Health"/>
    <n v="18"/>
    <n v="2"/>
    <s v="None"/>
    <x v="2"/>
    <s v="Certified Professional"/>
  </r>
  <r>
    <n v="9544"/>
    <x v="30"/>
    <x v="1"/>
    <x v="23"/>
    <x v="4"/>
    <x v="4"/>
    <x v="2"/>
    <x v="1"/>
    <s v="Joseph Sanders"/>
    <s v="2018-10-27"/>
    <x v="2"/>
    <x v="1"/>
    <n v="47627"/>
    <s v="C"/>
    <n v="1221"/>
    <s v="None"/>
    <n v="4"/>
    <n v="3"/>
    <s v="None"/>
    <x v="1"/>
    <s v="None"/>
  </r>
  <r>
    <n v="8012"/>
    <x v="31"/>
    <x v="0"/>
    <x v="23"/>
    <x v="4"/>
    <x v="0"/>
    <x v="0"/>
    <x v="4"/>
    <s v="Shelly George"/>
    <s v="2018-08-26"/>
    <x v="2"/>
    <x v="1"/>
    <n v="56162"/>
    <s v="D"/>
    <n v="6560"/>
    <s v="Health + Dental"/>
    <n v="9"/>
    <n v="4"/>
    <s v="Excel Workshop"/>
    <x v="3"/>
    <s v="None"/>
  </r>
  <r>
    <n v="9374"/>
    <x v="32"/>
    <x v="0"/>
    <x v="24"/>
    <x v="2"/>
    <x v="1"/>
    <x v="2"/>
    <x v="2"/>
    <s v="Nicole Houston"/>
    <s v="2023-07-24"/>
    <x v="1"/>
    <x v="2"/>
    <n v="95734"/>
    <s v="C"/>
    <n v="4854"/>
    <s v="Health"/>
    <n v="13"/>
    <n v="2"/>
    <s v="Leadership Training"/>
    <x v="0"/>
    <s v="Certified Professional"/>
  </r>
  <r>
    <n v="3487"/>
    <x v="33"/>
    <x v="1"/>
    <x v="7"/>
    <x v="3"/>
    <x v="1"/>
    <x v="1"/>
    <x v="3"/>
    <s v="Kristin Shaffer"/>
    <s v="2018-07-09"/>
    <x v="1"/>
    <x v="2"/>
    <n v="74789"/>
    <s v="C"/>
    <n v="8101"/>
    <s v="Health + Dental"/>
    <n v="14"/>
    <n v="5"/>
    <s v="Excel Workshop"/>
    <x v="2"/>
    <s v="None"/>
  </r>
  <r>
    <n v="8445"/>
    <x v="34"/>
    <x v="0"/>
    <x v="16"/>
    <x v="0"/>
    <x v="4"/>
    <x v="0"/>
    <x v="3"/>
    <s v="Joel Aguilar"/>
    <s v="2016-12-21"/>
    <x v="0"/>
    <x v="2"/>
    <n v="30137"/>
    <s v="B"/>
    <n v="4031"/>
    <s v="None"/>
    <n v="5"/>
    <n v="3"/>
    <s v="None"/>
    <x v="1"/>
    <s v="Certified Professional"/>
  </r>
  <r>
    <n v="1550"/>
    <x v="35"/>
    <x v="1"/>
    <x v="25"/>
    <x v="0"/>
    <x v="1"/>
    <x v="0"/>
    <x v="0"/>
    <s v="Michael Wade"/>
    <s v="2019-06-27"/>
    <x v="0"/>
    <x v="2"/>
    <n v="95510"/>
    <s v="C"/>
    <n v="6811"/>
    <s v="Health"/>
    <n v="18"/>
    <n v="4"/>
    <s v="Excel Workshop"/>
    <x v="4"/>
    <s v="Certified Professional"/>
  </r>
  <r>
    <n v="9968"/>
    <x v="36"/>
    <x v="1"/>
    <x v="7"/>
    <x v="3"/>
    <x v="1"/>
    <x v="3"/>
    <x v="0"/>
    <s v="Jessica Walsh"/>
    <s v="2021-08-27"/>
    <x v="1"/>
    <x v="0"/>
    <n v="80325"/>
    <s v="B"/>
    <n v="6230"/>
    <s v="Health"/>
    <n v="5"/>
    <n v="4"/>
    <s v="None"/>
    <x v="2"/>
    <s v="Advanced Training"/>
  </r>
  <r>
    <n v="8029"/>
    <x v="37"/>
    <x v="0"/>
    <x v="15"/>
    <x v="3"/>
    <x v="3"/>
    <x v="4"/>
    <x v="4"/>
    <s v="Kelly Mack"/>
    <s v="2017-05-28"/>
    <x v="2"/>
    <x v="1"/>
    <n v="34109"/>
    <s v="B"/>
    <n v="9232"/>
    <s v="Health"/>
    <n v="13"/>
    <n v="3"/>
    <s v="Leadership Training"/>
    <x v="0"/>
    <s v="Certified Professional"/>
  </r>
  <r>
    <n v="8847"/>
    <x v="38"/>
    <x v="1"/>
    <x v="3"/>
    <x v="2"/>
    <x v="3"/>
    <x v="3"/>
    <x v="0"/>
    <s v="John Conley"/>
    <s v="2022-01-30"/>
    <x v="2"/>
    <x v="2"/>
    <n v="73330"/>
    <s v="C"/>
    <n v="2276"/>
    <s v="Health + Dental"/>
    <n v="5"/>
    <n v="1"/>
    <s v="None"/>
    <x v="1"/>
    <s v="Advanced Training"/>
  </r>
  <r>
    <n v="1955"/>
    <x v="39"/>
    <x v="0"/>
    <x v="7"/>
    <x v="3"/>
    <x v="2"/>
    <x v="2"/>
    <x v="1"/>
    <s v="Aaron Baker"/>
    <s v="2017-04-20"/>
    <x v="1"/>
    <x v="2"/>
    <n v="46567"/>
    <s v="A"/>
    <n v="2825"/>
    <s v="Health"/>
    <n v="15"/>
    <n v="3"/>
    <s v="None"/>
    <x v="4"/>
    <s v="Advanced Training"/>
  </r>
  <r>
    <n v="4522"/>
    <x v="40"/>
    <x v="0"/>
    <x v="18"/>
    <x v="2"/>
    <x v="0"/>
    <x v="4"/>
    <x v="0"/>
    <s v="Christopher Bass"/>
    <s v="2019-07-22"/>
    <x v="1"/>
    <x v="1"/>
    <n v="39795"/>
    <s v="A"/>
    <n v="1670"/>
    <s v="None"/>
    <n v="0"/>
    <n v="2"/>
    <s v="Excel Workshop"/>
    <x v="3"/>
    <s v="None"/>
  </r>
  <r>
    <n v="3078"/>
    <x v="41"/>
    <x v="0"/>
    <x v="25"/>
    <x v="0"/>
    <x v="0"/>
    <x v="0"/>
    <x v="4"/>
    <s v="Sean Tucker PhD"/>
    <s v="2018-11-29"/>
    <x v="1"/>
    <x v="2"/>
    <n v="59506"/>
    <s v="A"/>
    <n v="4428"/>
    <s v="Health + Dental"/>
    <n v="0"/>
    <n v="1"/>
    <s v="None"/>
    <x v="3"/>
    <s v="Certified Professional"/>
  </r>
  <r>
    <n v="6357"/>
    <x v="42"/>
    <x v="0"/>
    <x v="14"/>
    <x v="4"/>
    <x v="2"/>
    <x v="1"/>
    <x v="4"/>
    <s v="Jacob Scott"/>
    <s v="2022-11-14"/>
    <x v="1"/>
    <x v="2"/>
    <n v="49058"/>
    <s v="B"/>
    <n v="4396"/>
    <s v="None"/>
    <n v="5"/>
    <n v="1"/>
    <s v="None"/>
    <x v="3"/>
    <s v="None"/>
  </r>
  <r>
    <n v="7951"/>
    <x v="43"/>
    <x v="0"/>
    <x v="18"/>
    <x v="2"/>
    <x v="3"/>
    <x v="2"/>
    <x v="4"/>
    <s v="Joel Park"/>
    <s v="2016-02-23"/>
    <x v="1"/>
    <x v="0"/>
    <n v="98612"/>
    <s v="A"/>
    <n v="1168"/>
    <s v="None"/>
    <n v="9"/>
    <n v="2"/>
    <s v="Excel Workshop"/>
    <x v="0"/>
    <s v="Certified Professional"/>
  </r>
  <r>
    <n v="9228"/>
    <x v="44"/>
    <x v="1"/>
    <x v="3"/>
    <x v="2"/>
    <x v="4"/>
    <x v="3"/>
    <x v="1"/>
    <s v="Russell Marshall"/>
    <s v="2018-05-18"/>
    <x v="2"/>
    <x v="1"/>
    <n v="38201"/>
    <s v="A"/>
    <n v="7111"/>
    <s v="Health"/>
    <n v="8"/>
    <n v="4"/>
    <s v="Leadership Training"/>
    <x v="3"/>
    <s v="None"/>
  </r>
  <r>
    <n v="8988"/>
    <x v="45"/>
    <x v="1"/>
    <x v="0"/>
    <x v="0"/>
    <x v="0"/>
    <x v="2"/>
    <x v="2"/>
    <s v="James Holden"/>
    <s v="2024-03-09"/>
    <x v="2"/>
    <x v="1"/>
    <n v="92919"/>
    <s v="D"/>
    <n v="9497"/>
    <s v="Health"/>
    <n v="7"/>
    <n v="2"/>
    <s v="None"/>
    <x v="3"/>
    <s v="Advanced Training"/>
  </r>
  <r>
    <n v="1952"/>
    <x v="46"/>
    <x v="0"/>
    <x v="9"/>
    <x v="1"/>
    <x v="4"/>
    <x v="0"/>
    <x v="1"/>
    <s v="Thomas Murphy"/>
    <s v="2024-03-27"/>
    <x v="0"/>
    <x v="2"/>
    <n v="45188"/>
    <s v="A"/>
    <n v="9591"/>
    <s v="Health + Dental"/>
    <n v="18"/>
    <n v="3"/>
    <s v="Leadership Training"/>
    <x v="3"/>
    <s v="None"/>
  </r>
  <r>
    <n v="5760"/>
    <x v="47"/>
    <x v="0"/>
    <x v="26"/>
    <x v="3"/>
    <x v="2"/>
    <x v="1"/>
    <x v="0"/>
    <s v="Mark Abbott"/>
    <s v="2019-12-23"/>
    <x v="0"/>
    <x v="1"/>
    <n v="34927"/>
    <s v="D"/>
    <n v="6996"/>
    <s v="Health + Dental"/>
    <n v="16"/>
    <n v="1"/>
    <s v="Excel Workshop"/>
    <x v="0"/>
    <s v="Certified Professional"/>
  </r>
  <r>
    <n v="5742"/>
    <x v="48"/>
    <x v="0"/>
    <x v="1"/>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79171B-A12C-4728-BA3C-AB356E8DDC15}"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G5:J12" firstHeaderRow="1" firstDataRow="2"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axis="axisCol" showAll="0">
      <items count="3">
        <item x="0"/>
        <item x="1"/>
        <item t="default"/>
      </items>
    </pivotField>
    <pivotField showAll="0">
      <items count="28">
        <item x="6"/>
        <item x="25"/>
        <item x="10"/>
        <item x="16"/>
        <item x="0"/>
        <item x="1"/>
        <item x="5"/>
        <item x="9"/>
        <item x="11"/>
        <item x="19"/>
        <item x="2"/>
        <item x="17"/>
        <item x="18"/>
        <item x="20"/>
        <item x="3"/>
        <item x="24"/>
        <item x="8"/>
        <item x="22"/>
        <item x="14"/>
        <item x="21"/>
        <item x="12"/>
        <item x="23"/>
        <item x="4"/>
        <item x="15"/>
        <item x="7"/>
        <item x="26"/>
        <item x="13"/>
        <item t="default"/>
      </items>
    </pivotField>
    <pivotField axis="axisRow" showAll="0" defaultSubtotal="0">
      <items count="9">
        <item x="0"/>
        <item x="1"/>
        <item x="2"/>
        <item x="4"/>
        <item x="3"/>
        <item h="1" f="1" x="5"/>
        <item h="1" f="1" x="6"/>
        <item h="1" f="1" x="7"/>
        <item h="1" f="1" x="8"/>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4">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 chart="7" format="6">
      <pivotArea type="data" outline="0" fieldPosition="0">
        <references count="3">
          <reference field="4294967294" count="1" selected="0">
            <x v="0"/>
          </reference>
          <reference field="2" count="1" selected="0">
            <x v="1"/>
          </reference>
          <reference field="4" count="1" selected="0">
            <x v="2"/>
          </reference>
        </references>
      </pivotArea>
    </chartFormat>
    <chartFormat chart="7" format="7">
      <pivotArea type="data" outline="0" fieldPosition="0">
        <references count="3">
          <reference field="4294967294" count="1" selected="0">
            <x v="0"/>
          </reference>
          <reference field="2" count="1" selected="0">
            <x v="1"/>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A9E651-BED1-4F94-8FF3-F12DC9BDC36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5:E11" firstHeaderRow="1" firstDataRow="1" firstDataCol="1"/>
  <pivotFields count="21">
    <pivotField showAll="0"/>
    <pivotField showAll="0"/>
    <pivotField showAll="0">
      <items count="3">
        <item x="0"/>
        <item x="1"/>
        <item t="default"/>
      </items>
    </pivotField>
    <pivotField showAll="0"/>
    <pivotField showAll="0">
      <items count="10">
        <item x="0"/>
        <item x="1"/>
        <item x="2"/>
        <item x="4"/>
        <item x="3"/>
        <item f="1" x="5"/>
        <item f="1" x="6"/>
        <item f="1" x="7"/>
        <item f="1" x="8"/>
        <item t="default"/>
      </items>
    </pivotField>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Salary" fld="12" baseField="0" baseItem="0"/>
  </dataFields>
  <formats count="6">
    <format dxfId="709">
      <pivotArea type="all" dataOnly="0" outline="0" fieldPosition="0"/>
    </format>
    <format dxfId="710">
      <pivotArea outline="0" collapsedLevelsAreSubtotals="1" fieldPosition="0"/>
    </format>
    <format dxfId="711">
      <pivotArea field="6" type="button" dataOnly="0" labelOnly="1" outline="0" axis="axisRow" fieldPosition="0"/>
    </format>
    <format dxfId="712">
      <pivotArea dataOnly="0" labelOnly="1" fieldPosition="0">
        <references count="1">
          <reference field="6" count="0"/>
        </references>
      </pivotArea>
    </format>
    <format dxfId="713">
      <pivotArea dataOnly="0" labelOnly="1" grandRow="1" outline="0" fieldPosition="0"/>
    </format>
    <format dxfId="7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ECCD7C-70C7-41D1-A8A1-B5B370D2205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9"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pivotField showAll="0">
      <items count="10">
        <item x="0"/>
        <item x="1"/>
        <item x="2"/>
        <item x="4"/>
        <item x="3"/>
        <item f="1" x="5"/>
        <item f="1" x="6"/>
        <item f="1" x="7"/>
        <item f="1" x="8"/>
        <item t="default"/>
      </items>
    </pivotField>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formats count="6">
    <format dxfId="743">
      <pivotArea type="all" dataOnly="0" outline="0" fieldPosition="0"/>
    </format>
    <format dxfId="742">
      <pivotArea outline="0" collapsedLevelsAreSubtotals="1" fieldPosition="0"/>
    </format>
    <format dxfId="741">
      <pivotArea field="10" type="button" dataOnly="0" labelOnly="1" outline="0" axis="axisRow" fieldPosition="0"/>
    </format>
    <format dxfId="740">
      <pivotArea dataOnly="0" labelOnly="1" fieldPosition="0">
        <references count="1">
          <reference field="10" count="0"/>
        </references>
      </pivotArea>
    </format>
    <format dxfId="739">
      <pivotArea dataOnly="0" labelOnly="1" grandRow="1" outline="0" fieldPosition="0"/>
    </format>
    <format dxfId="7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59A16B-130C-44D0-8CFE-30E8D1A48EB0}"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5:T11" firstHeaderRow="1" firstDataRow="1" firstDataCol="1"/>
  <pivotFields count="21">
    <pivotField showAll="0"/>
    <pivotField dataField="1" showAll="0"/>
    <pivotField showAll="0">
      <items count="3">
        <item x="0"/>
        <item x="1"/>
        <item t="default"/>
      </items>
    </pivotField>
    <pivotField showAll="0"/>
    <pivotField showAll="0">
      <items count="10">
        <item x="0"/>
        <item x="1"/>
        <item x="2"/>
        <item x="4"/>
        <item x="3"/>
        <item f="1" x="5"/>
        <item f="1" x="6"/>
        <item f="1" x="7"/>
        <item f="1" x="8"/>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BE5BF1-C25F-4516-9297-761A43EC49A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Y5:Z11" firstHeaderRow="1" firstDataRow="1" firstDataCol="1"/>
  <pivotFields count="21">
    <pivotField showAll="0"/>
    <pivotField dataField="1" showAll="0"/>
    <pivotField showAll="0">
      <items count="3">
        <item x="0"/>
        <item x="1"/>
        <item t="default"/>
      </items>
    </pivotField>
    <pivotField showAll="0"/>
    <pivotField showAll="0">
      <items count="10">
        <item x="0"/>
        <item x="1"/>
        <item x="2"/>
        <item x="4"/>
        <item x="3"/>
        <item f="1" x="5"/>
        <item f="1" x="6"/>
        <item f="1" x="7"/>
        <item f="1" x="8"/>
        <item t="default"/>
      </items>
    </pivotField>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14914A-F3D5-47C9-9795-A82E4F07211C}"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5:O9" firstHeaderRow="1" firstDataRow="1" firstDataCol="1"/>
  <pivotFields count="21">
    <pivotField showAll="0"/>
    <pivotField dataField="1" showAll="0"/>
    <pivotField showAll="0">
      <items count="3">
        <item x="0"/>
        <item x="1"/>
        <item t="default"/>
      </items>
    </pivotField>
    <pivotField showAll="0"/>
    <pivotField showAll="0">
      <items count="10">
        <item x="0"/>
        <item x="1"/>
        <item x="2"/>
        <item x="4"/>
        <item x="3"/>
        <item f="1" x="5"/>
        <item f="1" x="6"/>
        <item f="1" x="7"/>
        <item f="1" x="8"/>
        <item t="default"/>
      </items>
    </pivotField>
    <pivotField showAll="0"/>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206B79-45EC-40EF-B3F4-106A5D907B5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5:W11" firstHeaderRow="1" firstDataRow="1" firstDataCol="1"/>
  <pivotFields count="21">
    <pivotField showAll="0"/>
    <pivotField showAll="0"/>
    <pivotField showAll="0">
      <items count="3">
        <item x="0"/>
        <item x="1"/>
        <item t="default"/>
      </items>
    </pivotField>
    <pivotField showAll="0"/>
    <pivotField showAll="0">
      <items count="10">
        <item x="0"/>
        <item x="1"/>
        <item x="2"/>
        <item x="4"/>
        <item x="3"/>
        <item f="1" x="5"/>
        <item f="1" x="6"/>
        <item f="1" x="7"/>
        <item f="1" x="8"/>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Sum of Performance Rating"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68F5717-8641-4690-B4EC-7FE803E36108}" sourceName="Department">
  <pivotTables>
    <pivotTable tabId="4" name="PivotTable2"/>
    <pivotTable tabId="4" name="PivotTable1"/>
    <pivotTable tabId="4" name="PivotTable14"/>
    <pivotTable tabId="4" name="PivotTable15"/>
    <pivotTable tabId="4" name="PivotTable3"/>
    <pivotTable tabId="4" name="PivotTable4"/>
    <pivotTable tabId="4" name="PivotTable5"/>
  </pivotTables>
  <data>
    <tabular pivotCacheId="1287855838">
      <items count="5">
        <i x="0"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86120FA-FCA7-47C7-8D8B-E593B846B556}" sourceName="Gender">
  <pivotTables>
    <pivotTable tabId="4" name="PivotTable5"/>
    <pivotTable tabId="4" name="PivotTable1"/>
    <pivotTable tabId="4" name="PivotTable14"/>
    <pivotTable tabId="4" name="PivotTable15"/>
    <pivotTable tabId="4" name="PivotTable2"/>
    <pivotTable tabId="4" name="PivotTable3"/>
    <pivotTable tabId="4" name="PivotTable4"/>
  </pivotTables>
  <data>
    <tabular pivotCacheId="128785583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85DAFDB-89EA-4F51-83FE-485E1D1B3E6F}" cache="Slicer_Department" caption="Department" columnCount="3" style="Slicer Style 1" rowHeight="252000"/>
  <slicer name="Gender" xr10:uid="{D08773E0-5875-48D7-AE21-93E58B7B7619}" cache="Slicer_Gender" caption="Gender" columnCount="2"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737" dataDxfId="736">
  <autoFilter ref="A1:U51" xr:uid="{BD7F130C-4931-4EC9-8AE2-A64F6556D3A3}"/>
  <tableColumns count="21">
    <tableColumn id="1" xr3:uid="{6BDBB43D-1DF4-4FF3-9C56-0E3D699A83FC}" name="Employee ID" dataDxfId="735"/>
    <tableColumn id="2" xr3:uid="{363D91B7-21AD-4B4B-86DE-95D24769EAA5}" name="Full Name" dataDxfId="734"/>
    <tableColumn id="3" xr3:uid="{728245EC-9766-45F5-9851-7FEFEFBE2652}" name="Gender" dataDxfId="733"/>
    <tableColumn id="4" xr3:uid="{DD8A90D1-163F-4B0E-A039-9E7A16AFC106}" name="Age" dataDxfId="732"/>
    <tableColumn id="5" xr3:uid="{0672993B-A00D-49AE-84B7-674089468A17}" name="Age range" dataDxfId="731"/>
    <tableColumn id="6" xr3:uid="{B1ADEE80-60F1-4EE3-B3FB-8484EE6C17B3}" name="Region" dataDxfId="730"/>
    <tableColumn id="7" xr3:uid="{8E0A56EE-3456-4513-ADA0-27F6CAA8C17B}" name="Job Title" dataDxfId="729"/>
    <tableColumn id="8" xr3:uid="{0D9D5DB9-01CB-4300-B0CD-256901621ADC}" name="Department" dataDxfId="728"/>
    <tableColumn id="9" xr3:uid="{9EBDAC3F-6A39-4A78-B562-848691EE3AD1}" name="Manager/Supervisor" dataDxfId="727"/>
    <tableColumn id="10" xr3:uid="{AF849F24-150A-4123-B3F8-A46B4D4F7BC6}" name="Date of Hire" dataDxfId="726"/>
    <tableColumn id="11" xr3:uid="{8C57202E-334A-462A-9C44-E5E2468122E4}" name="Employment Status" dataDxfId="725"/>
    <tableColumn id="12" xr3:uid="{8A07812C-245C-4D55-A210-3AE7E0BB84EB}" name="Work Location" dataDxfId="724"/>
    <tableColumn id="13" xr3:uid="{6441036C-01DD-4130-8E4B-DBA441BCB744}" name="Salary" dataDxfId="723"/>
    <tableColumn id="14" xr3:uid="{ADCF531A-A98E-422C-939D-04D58C2423FB}" name="Pay Grade" dataDxfId="722"/>
    <tableColumn id="15" xr3:uid="{DE922695-AE31-4F31-8F89-61E6E7E646AB}" name="Bonus/Allowances" dataDxfId="721"/>
    <tableColumn id="16" xr3:uid="{62F2B816-9954-4A01-AEDC-4C13B3A2A52F}" name="Insurance Details" dataDxfId="720"/>
    <tableColumn id="17" xr3:uid="{6EFEC335-9B75-45D5-B403-A8A9E557BE24}" name="Leave Taken" dataDxfId="719"/>
    <tableColumn id="18" xr3:uid="{9DA1B78E-154E-42E4-A1BC-FE1CF363DCBA}" name="Performance Rating" dataDxfId="718"/>
    <tableColumn id="19" xr3:uid="{7E4B5E79-5639-4E3A-91A1-D1D8767BB705}" name="Training Programs Attended" dataDxfId="717"/>
    <tableColumn id="20" xr3:uid="{2E731344-8C6D-4001-9E36-F16B80500F61}" name="Skills" dataDxfId="716"/>
    <tableColumn id="21" xr3:uid="{9DCE550B-F788-4423-B330-CAB70C041DFC}" name="Certifications" dataDxfId="71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workbookViewId="0">
      <selection activeCell="A10" sqref="A2:U51"/>
    </sheetView>
  </sheetViews>
  <sheetFormatPr defaultColWidth="9.109375" defaultRowHeight="16.8" customHeight="1"/>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16.8"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6.8" customHeight="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ht="16.8" customHeight="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ht="16.8" customHeight="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ht="16.8" customHeight="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ht="16.8" customHeight="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ht="16.8" customHeight="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ht="16.8" customHeight="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ht="16.8" customHeight="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ht="16.8" customHeight="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ht="16.8" customHeight="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ht="16.8" customHeight="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ht="16.8" customHeight="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ht="16.8" customHeight="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ht="16.8" customHeight="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ht="16.8" customHeight="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ht="16.8" customHeight="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ht="16.8" customHeight="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ht="16.8" customHeight="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ht="16.8" customHeight="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ht="16.8" customHeight="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ht="16.8" customHeight="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ht="16.8" customHeight="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ht="16.8" customHeight="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ht="16.8" customHeight="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ht="16.8" customHeight="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ht="16.8" customHeight="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ht="16.8" customHeight="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ht="16.8" customHeight="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ht="16.8" customHeight="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ht="16.8" customHeight="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ht="16.8" customHeight="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ht="16.8" customHeight="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ht="16.8" customHeight="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ht="16.8" customHeight="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ht="16.8" customHeight="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ht="16.8" customHeight="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ht="16.8" customHeight="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ht="16.8" customHeight="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ht="16.8" customHeight="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ht="16.8" customHeight="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ht="16.8" customHeight="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ht="16.8" customHeight="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ht="16.8" customHeight="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ht="16.8" customHeight="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ht="16.8" customHeight="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ht="16.8" customHeight="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ht="16.8" customHeight="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ht="16.8" customHeight="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ht="16.8" customHeight="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ht="16.8" customHeight="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8CA03-0B4F-4972-97B6-1B5BBBB331CF}">
  <dimension ref="A3:Z21"/>
  <sheetViews>
    <sheetView tabSelected="1" workbookViewId="0">
      <selection activeCell="B15" sqref="B15"/>
    </sheetView>
  </sheetViews>
  <sheetFormatPr defaultColWidth="7.77734375" defaultRowHeight="14.4"/>
  <cols>
    <col min="1" max="1" width="14.5546875" style="6" bestFit="1" customWidth="1"/>
    <col min="2" max="2" width="19.77734375" style="6" bestFit="1" customWidth="1"/>
    <col min="4" max="4" width="14.5546875" style="6" bestFit="1" customWidth="1"/>
    <col min="5" max="5" width="14.6640625" style="6" bestFit="1" customWidth="1"/>
    <col min="10" max="10" width="12.21875" customWidth="1"/>
    <col min="14" max="14" width="12.44140625" bestFit="1" customWidth="1"/>
    <col min="15" max="15" width="16.6640625" bestFit="1" customWidth="1"/>
    <col min="16" max="16" width="10.77734375" bestFit="1" customWidth="1"/>
    <col min="17" max="17" width="7.44140625" bestFit="1" customWidth="1"/>
    <col min="18" max="18" width="10.5546875" bestFit="1" customWidth="1"/>
    <col min="19" max="19" width="13.88671875" bestFit="1" customWidth="1"/>
    <col min="20" max="20" width="16.6640625" bestFit="1" customWidth="1"/>
    <col min="22" max="22" width="13.88671875" bestFit="1" customWidth="1"/>
    <col min="23" max="23" width="23.5546875" bestFit="1" customWidth="1"/>
    <col min="25" max="25" width="12.44140625" bestFit="1" customWidth="1"/>
    <col min="26" max="26" width="16.6640625" bestFit="1" customWidth="1"/>
  </cols>
  <sheetData>
    <row r="3" spans="1:26">
      <c r="A3" s="21" t="s">
        <v>217</v>
      </c>
      <c r="B3" s="21"/>
      <c r="D3" s="21" t="s">
        <v>220</v>
      </c>
      <c r="E3" s="21"/>
      <c r="G3" s="22" t="s">
        <v>226</v>
      </c>
      <c r="H3" s="22"/>
      <c r="I3" s="22"/>
      <c r="J3" s="22"/>
      <c r="N3" s="23" t="s">
        <v>227</v>
      </c>
      <c r="O3" s="23"/>
      <c r="S3" s="20" t="s">
        <v>228</v>
      </c>
      <c r="T3" s="20"/>
      <c r="V3" s="20" t="s">
        <v>231</v>
      </c>
      <c r="W3" s="20"/>
      <c r="Y3" s="20" t="s">
        <v>5</v>
      </c>
      <c r="Z3" s="20"/>
    </row>
    <row r="4" spans="1:26">
      <c r="A4" s="10"/>
      <c r="B4" s="10"/>
    </row>
    <row r="5" spans="1:26">
      <c r="A5" s="7" t="s">
        <v>214</v>
      </c>
      <c r="B5" s="6" t="s">
        <v>216</v>
      </c>
      <c r="D5" s="7" t="s">
        <v>214</v>
      </c>
      <c r="E5" s="6" t="s">
        <v>219</v>
      </c>
      <c r="G5" s="14" t="s">
        <v>216</v>
      </c>
      <c r="H5" s="14" t="s">
        <v>223</v>
      </c>
      <c r="N5" s="14" t="s">
        <v>214</v>
      </c>
      <c r="O5" t="s">
        <v>216</v>
      </c>
      <c r="S5" s="14" t="s">
        <v>214</v>
      </c>
      <c r="T5" t="s">
        <v>216</v>
      </c>
      <c r="V5" s="14" t="s">
        <v>214</v>
      </c>
      <c r="W5" t="s">
        <v>229</v>
      </c>
      <c r="Y5" s="14" t="s">
        <v>214</v>
      </c>
      <c r="Z5" t="s">
        <v>216</v>
      </c>
    </row>
    <row r="6" spans="1:26">
      <c r="A6" s="8" t="s">
        <v>63</v>
      </c>
      <c r="B6" s="25">
        <v>17</v>
      </c>
      <c r="D6" s="8" t="s">
        <v>121</v>
      </c>
      <c r="E6" s="25">
        <v>167041</v>
      </c>
      <c r="G6" s="14" t="s">
        <v>214</v>
      </c>
      <c r="H6" t="s">
        <v>22</v>
      </c>
      <c r="I6" t="s">
        <v>37</v>
      </c>
      <c r="J6" t="s">
        <v>215</v>
      </c>
      <c r="N6" s="15" t="s">
        <v>44</v>
      </c>
      <c r="O6" s="24">
        <v>23</v>
      </c>
      <c r="S6" s="15" t="s">
        <v>75</v>
      </c>
      <c r="T6" s="24">
        <v>12</v>
      </c>
      <c r="V6" s="15" t="s">
        <v>75</v>
      </c>
      <c r="W6" s="24">
        <v>33</v>
      </c>
      <c r="Y6" s="15" t="s">
        <v>39</v>
      </c>
      <c r="Z6" s="24">
        <v>14</v>
      </c>
    </row>
    <row r="7" spans="1:26">
      <c r="A7" s="8" t="s">
        <v>29</v>
      </c>
      <c r="B7" s="25">
        <v>20</v>
      </c>
      <c r="D7" s="8" t="s">
        <v>40</v>
      </c>
      <c r="E7" s="25">
        <v>613842</v>
      </c>
      <c r="G7" s="15" t="s">
        <v>23</v>
      </c>
      <c r="H7" s="24">
        <v>6</v>
      </c>
      <c r="I7" s="24">
        <v>3</v>
      </c>
      <c r="J7" s="24">
        <v>9</v>
      </c>
      <c r="N7" s="15" t="s">
        <v>30</v>
      </c>
      <c r="O7" s="24">
        <v>8</v>
      </c>
      <c r="S7" s="15" t="s">
        <v>34</v>
      </c>
      <c r="T7" s="24">
        <v>11</v>
      </c>
      <c r="V7" s="15" t="s">
        <v>34</v>
      </c>
      <c r="W7" s="24">
        <v>21</v>
      </c>
      <c r="Y7" s="15" t="s">
        <v>24</v>
      </c>
      <c r="Z7" s="24">
        <v>10</v>
      </c>
    </row>
    <row r="8" spans="1:26">
      <c r="A8" s="8" t="s">
        <v>111</v>
      </c>
      <c r="B8" s="25">
        <v>13</v>
      </c>
      <c r="D8" s="8" t="s">
        <v>72</v>
      </c>
      <c r="E8" s="25">
        <v>633594</v>
      </c>
      <c r="G8" s="15" t="s">
        <v>38</v>
      </c>
      <c r="H8" s="24">
        <v>7</v>
      </c>
      <c r="I8" s="24">
        <v>6</v>
      </c>
      <c r="J8" s="24">
        <v>13</v>
      </c>
      <c r="N8" s="15" t="s">
        <v>54</v>
      </c>
      <c r="O8" s="24">
        <v>19</v>
      </c>
      <c r="S8" s="15" t="s">
        <v>96</v>
      </c>
      <c r="T8" s="24">
        <v>7</v>
      </c>
      <c r="V8" s="15" t="s">
        <v>96</v>
      </c>
      <c r="W8" s="24">
        <v>23</v>
      </c>
      <c r="Y8" s="15" t="s">
        <v>102</v>
      </c>
      <c r="Z8" s="24">
        <v>7</v>
      </c>
    </row>
    <row r="9" spans="1:26">
      <c r="A9" s="8" t="s">
        <v>215</v>
      </c>
      <c r="B9" s="25">
        <v>50</v>
      </c>
      <c r="D9" s="8" t="s">
        <v>50</v>
      </c>
      <c r="E9" s="25">
        <v>959266</v>
      </c>
      <c r="G9" s="15" t="s">
        <v>59</v>
      </c>
      <c r="H9" s="24">
        <v>5</v>
      </c>
      <c r="I9" s="24">
        <v>7</v>
      </c>
      <c r="J9" s="24">
        <v>12</v>
      </c>
      <c r="N9" s="15" t="s">
        <v>215</v>
      </c>
      <c r="O9" s="24">
        <v>50</v>
      </c>
      <c r="S9" s="15" t="s">
        <v>56</v>
      </c>
      <c r="T9" s="24">
        <v>11</v>
      </c>
      <c r="V9" s="15" t="s">
        <v>56</v>
      </c>
      <c r="W9" s="24">
        <v>27</v>
      </c>
      <c r="Y9" s="15" t="s">
        <v>80</v>
      </c>
      <c r="Z9" s="24">
        <v>10</v>
      </c>
    </row>
    <row r="10" spans="1:26">
      <c r="D10" s="8" t="s">
        <v>25</v>
      </c>
      <c r="E10" s="25">
        <v>731170</v>
      </c>
      <c r="G10" s="15" t="s">
        <v>98</v>
      </c>
      <c r="H10" s="24">
        <v>4</v>
      </c>
      <c r="I10" s="24">
        <v>3</v>
      </c>
      <c r="J10" s="24">
        <v>7</v>
      </c>
      <c r="S10" s="15" t="s">
        <v>66</v>
      </c>
      <c r="T10" s="24">
        <v>9</v>
      </c>
      <c r="V10" s="15" t="s">
        <v>66</v>
      </c>
      <c r="W10" s="24">
        <v>27</v>
      </c>
      <c r="Y10" s="15" t="s">
        <v>49</v>
      </c>
      <c r="Z10" s="24">
        <v>9</v>
      </c>
    </row>
    <row r="11" spans="1:26">
      <c r="D11" s="8" t="s">
        <v>215</v>
      </c>
      <c r="E11" s="25">
        <v>3104913</v>
      </c>
      <c r="G11" s="15" t="s">
        <v>68</v>
      </c>
      <c r="H11" s="24">
        <v>4</v>
      </c>
      <c r="I11" s="24">
        <v>5</v>
      </c>
      <c r="J11" s="24">
        <v>9</v>
      </c>
      <c r="S11" s="15" t="s">
        <v>215</v>
      </c>
      <c r="T11" s="24">
        <v>50</v>
      </c>
      <c r="V11" s="15" t="s">
        <v>215</v>
      </c>
      <c r="W11" s="24">
        <v>131</v>
      </c>
      <c r="Y11" s="15" t="s">
        <v>215</v>
      </c>
      <c r="Z11" s="24">
        <v>50</v>
      </c>
    </row>
    <row r="12" spans="1:26">
      <c r="A12" s="8" t="s">
        <v>63</v>
      </c>
      <c r="B12" s="6">
        <f>IFERROR(B6,0)</f>
        <v>17</v>
      </c>
      <c r="G12" s="15" t="s">
        <v>215</v>
      </c>
      <c r="H12" s="24">
        <v>26</v>
      </c>
      <c r="I12" s="24">
        <v>24</v>
      </c>
      <c r="J12" s="24">
        <v>50</v>
      </c>
      <c r="N12" s="15" t="s">
        <v>44</v>
      </c>
      <c r="O12">
        <f>IFERROR(O6,0)</f>
        <v>23</v>
      </c>
      <c r="P12" s="17">
        <f>SUM(O12)/SUM($O$12:$O$14)</f>
        <v>0.46</v>
      </c>
      <c r="Q12" s="17">
        <f>1-P12</f>
        <v>0.54</v>
      </c>
    </row>
    <row r="13" spans="1:26">
      <c r="A13" s="8" t="s">
        <v>29</v>
      </c>
      <c r="B13" s="6">
        <f>IFERROR(B7,0)</f>
        <v>20</v>
      </c>
      <c r="G13" s="15" t="s">
        <v>23</v>
      </c>
      <c r="H13">
        <f>IFERROR(J7,0)</f>
        <v>9</v>
      </c>
      <c r="N13" s="15" t="s">
        <v>30</v>
      </c>
      <c r="O13">
        <f>IFERROR(O7,0)</f>
        <v>8</v>
      </c>
      <c r="P13" s="17">
        <f>SUM(O13)/SUM($O$12:$O$14)</f>
        <v>0.16</v>
      </c>
      <c r="Q13" s="17">
        <f>1-P13</f>
        <v>0.84</v>
      </c>
      <c r="S13" s="15" t="s">
        <v>75</v>
      </c>
      <c r="T13">
        <f>IFERROR(T6,0)</f>
        <v>12</v>
      </c>
      <c r="V13" s="15" t="s">
        <v>75</v>
      </c>
      <c r="W13">
        <v>33</v>
      </c>
      <c r="Y13" s="15" t="s">
        <v>39</v>
      </c>
      <c r="Z13">
        <f>IFERROR(Z6,0)</f>
        <v>14</v>
      </c>
    </row>
    <row r="14" spans="1:26">
      <c r="A14" s="8" t="s">
        <v>111</v>
      </c>
      <c r="B14" s="6">
        <f>IFERROR(B8,0)</f>
        <v>13</v>
      </c>
      <c r="D14" s="6" t="s">
        <v>121</v>
      </c>
      <c r="E14" s="13">
        <f t="shared" ref="E14:E19" si="0">IFERROR(E6,0)</f>
        <v>167041</v>
      </c>
      <c r="G14" s="15" t="s">
        <v>38</v>
      </c>
      <c r="H14">
        <f>IFERROR(H7,0)</f>
        <v>6</v>
      </c>
      <c r="N14" s="15" t="s">
        <v>54</v>
      </c>
      <c r="O14">
        <f>IFERROR(O8,0)</f>
        <v>19</v>
      </c>
      <c r="P14" s="17">
        <f>SUM(O14)/SUM($O$12:$O$14)</f>
        <v>0.38</v>
      </c>
      <c r="Q14" s="17">
        <f>1-P14</f>
        <v>0.62</v>
      </c>
      <c r="S14" s="15" t="s">
        <v>34</v>
      </c>
      <c r="T14">
        <f>IFERROR(T7,0)</f>
        <v>11</v>
      </c>
      <c r="V14" s="15" t="s">
        <v>34</v>
      </c>
      <c r="W14">
        <v>21</v>
      </c>
      <c r="Y14" s="15" t="s">
        <v>24</v>
      </c>
      <c r="Z14">
        <f>IFERROR(Z7,0)</f>
        <v>10</v>
      </c>
    </row>
    <row r="15" spans="1:26">
      <c r="A15" s="11" t="s">
        <v>218</v>
      </c>
      <c r="B15" s="9">
        <f>SUM(B12:B14)</f>
        <v>50</v>
      </c>
      <c r="D15" s="6" t="s">
        <v>40</v>
      </c>
      <c r="E15" s="13">
        <f t="shared" si="0"/>
        <v>613842</v>
      </c>
      <c r="G15" s="15" t="s">
        <v>59</v>
      </c>
      <c r="H15">
        <f>IFERROR(H8,0)</f>
        <v>7</v>
      </c>
      <c r="N15" s="18" t="s">
        <v>218</v>
      </c>
      <c r="O15" s="19">
        <f>SUM(O12:O14)</f>
        <v>50</v>
      </c>
      <c r="S15" s="15" t="s">
        <v>96</v>
      </c>
      <c r="T15">
        <f>IFERROR(T8,0)</f>
        <v>7</v>
      </c>
      <c r="V15" s="15" t="s">
        <v>96</v>
      </c>
      <c r="W15">
        <v>23</v>
      </c>
      <c r="Y15" s="15" t="s">
        <v>102</v>
      </c>
      <c r="Z15">
        <f>IFERROR(Z8,0)</f>
        <v>7</v>
      </c>
    </row>
    <row r="16" spans="1:26">
      <c r="D16" s="6" t="s">
        <v>72</v>
      </c>
      <c r="E16" s="13">
        <f t="shared" si="0"/>
        <v>633594</v>
      </c>
      <c r="G16" s="15" t="s">
        <v>98</v>
      </c>
      <c r="H16">
        <f>IFERROR(H9,0)</f>
        <v>5</v>
      </c>
      <c r="S16" s="15" t="s">
        <v>56</v>
      </c>
      <c r="T16">
        <f>IFERROR(T9,0)</f>
        <v>11</v>
      </c>
      <c r="V16" s="15" t="s">
        <v>56</v>
      </c>
      <c r="W16">
        <v>27</v>
      </c>
      <c r="Y16" s="15" t="s">
        <v>80</v>
      </c>
      <c r="Z16">
        <f>IFERROR(Z9,0)</f>
        <v>10</v>
      </c>
    </row>
    <row r="17" spans="4:26">
      <c r="D17" s="6" t="s">
        <v>50</v>
      </c>
      <c r="E17" s="13">
        <f t="shared" si="0"/>
        <v>959266</v>
      </c>
      <c r="G17" s="15" t="s">
        <v>68</v>
      </c>
      <c r="H17">
        <f>IFERROR(H10,0)</f>
        <v>4</v>
      </c>
      <c r="S17" s="15" t="s">
        <v>66</v>
      </c>
      <c r="T17">
        <f>IFERROR(T10,0)</f>
        <v>9</v>
      </c>
      <c r="V17" s="15" t="s">
        <v>66</v>
      </c>
      <c r="W17">
        <v>27</v>
      </c>
      <c r="Y17" s="15" t="s">
        <v>49</v>
      </c>
      <c r="Z17">
        <f>IFERROR(Z10,0)</f>
        <v>9</v>
      </c>
    </row>
    <row r="18" spans="4:26">
      <c r="D18" s="6" t="s">
        <v>25</v>
      </c>
      <c r="E18" s="13">
        <f t="shared" si="0"/>
        <v>731170</v>
      </c>
      <c r="V18" s="18" t="s">
        <v>218</v>
      </c>
      <c r="W18" s="19">
        <f>SUM(W13:W17)</f>
        <v>131</v>
      </c>
      <c r="Y18" s="18" t="s">
        <v>230</v>
      </c>
      <c r="Z18" s="19">
        <f>SUM(Z13:Z17)</f>
        <v>50</v>
      </c>
    </row>
    <row r="19" spans="4:26">
      <c r="D19" s="9" t="s">
        <v>218</v>
      </c>
      <c r="E19" s="13">
        <f t="shared" si="0"/>
        <v>3104913</v>
      </c>
      <c r="G19" s="18" t="s">
        <v>224</v>
      </c>
      <c r="H19">
        <f>IFERROR(H12,0)</f>
        <v>26</v>
      </c>
      <c r="I19" s="17">
        <f>SUM(H19)/SUM($H$19:$H$20)</f>
        <v>0.52</v>
      </c>
      <c r="J19" s="17">
        <f>1-I19</f>
        <v>0.48</v>
      </c>
      <c r="V19" s="18" t="s">
        <v>232</v>
      </c>
      <c r="W19" s="19">
        <f>AVERAGE(W13:W17)</f>
        <v>26.2</v>
      </c>
    </row>
    <row r="20" spans="4:26">
      <c r="G20" s="18" t="s">
        <v>225</v>
      </c>
      <c r="H20">
        <f>IFERROR(I12,0)</f>
        <v>24</v>
      </c>
      <c r="I20" s="17">
        <f>SUM(H20)/SUM($H$19:$H$20)</f>
        <v>0.48</v>
      </c>
      <c r="J20" s="17">
        <f>1-I20</f>
        <v>0.52</v>
      </c>
    </row>
    <row r="21" spans="4:26">
      <c r="H21" s="16"/>
      <c r="I21" s="16"/>
    </row>
  </sheetData>
  <mergeCells count="7">
    <mergeCell ref="V3:W3"/>
    <mergeCell ref="Y3:Z3"/>
    <mergeCell ref="S3:T3"/>
    <mergeCell ref="A3:B3"/>
    <mergeCell ref="D3:E3"/>
    <mergeCell ref="G3:J3"/>
    <mergeCell ref="N3:O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C7463-0FE8-4984-B700-D60BF3804A9D}">
  <dimension ref="A1:W29"/>
  <sheetViews>
    <sheetView showGridLines="0" zoomScaleNormal="100" workbookViewId="0">
      <selection activeCell="U12" sqref="U12"/>
    </sheetView>
  </sheetViews>
  <sheetFormatPr defaultRowHeight="14.4"/>
  <cols>
    <col min="1" max="16384" width="8.88671875" style="4"/>
  </cols>
  <sheetData>
    <row r="1" spans="1:23" ht="16.8">
      <c r="A1" s="5"/>
    </row>
    <row r="9" spans="1:23">
      <c r="W9" s="26"/>
    </row>
    <row r="23" spans="19:22">
      <c r="T23" s="12"/>
      <c r="U23" s="12"/>
      <c r="V23" s="12"/>
    </row>
    <row r="24" spans="19:22">
      <c r="T24" s="12"/>
      <c r="V24" s="12"/>
    </row>
    <row r="25" spans="19:22">
      <c r="T25" s="12"/>
      <c r="U25" s="12"/>
      <c r="V25" s="12"/>
    </row>
    <row r="26" spans="19:22">
      <c r="S26" s="4" t="s">
        <v>221</v>
      </c>
      <c r="T26" s="12"/>
      <c r="U26" s="12"/>
      <c r="V26" s="12"/>
    </row>
    <row r="27" spans="19:22">
      <c r="T27" s="12"/>
      <c r="U27" s="12" t="s">
        <v>222</v>
      </c>
      <c r="V27" s="12"/>
    </row>
    <row r="28" spans="19:22">
      <c r="T28" s="12"/>
      <c r="U28" s="12"/>
      <c r="V28" s="12"/>
    </row>
    <row r="29" spans="19:22">
      <c r="T29" s="12"/>
      <c r="U29" s="12"/>
      <c r="V29"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Sunil Behera</cp:lastModifiedBy>
  <dcterms:created xsi:type="dcterms:W3CDTF">2024-12-11T17:14:33Z</dcterms:created>
  <dcterms:modified xsi:type="dcterms:W3CDTF">2026-09-24T13:50:10Z</dcterms:modified>
</cp:coreProperties>
</file>